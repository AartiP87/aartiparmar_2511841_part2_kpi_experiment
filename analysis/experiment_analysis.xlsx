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art 2\"/>
    </mc:Choice>
  </mc:AlternateContent>
  <bookViews>
    <workbookView xWindow="0" yWindow="0" windowWidth="19200" windowHeight="7190"/>
  </bookViews>
  <sheets>
    <sheet name="experiment_data" sheetId="1" r:id="rId1"/>
    <sheet name="business_context" sheetId="2" r:id="rId2"/>
    <sheet name="Missing_Values" sheetId="3" r:id="rId3"/>
    <sheet name="Group_Counts" sheetId="5" r:id="rId4"/>
    <sheet name="Duplicate_User_IDs" sheetId="6" r:id="rId5"/>
    <sheet name="Invalid_binary_values" sheetId="7" r:id="rId6"/>
    <sheet name="Outliers_in_revenue" sheetId="8" r:id="rId7"/>
    <sheet name="segment_dist._across_groups" sheetId="11" r:id="rId8"/>
  </sheets>
  <definedNames>
    <definedName name="_xlnm._FilterDatabase" localSheetId="0" hidden="1">experiment_data!$A$1:$Q$1409</definedName>
  </definedNames>
  <calcPr calcId="152511"/>
  <pivotCaches>
    <pivotCache cacheId="2" r:id="rId9"/>
  </pivotCaches>
</workbook>
</file>

<file path=xl/calcChain.xml><?xml version="1.0" encoding="utf-8"?>
<calcChain xmlns="http://schemas.openxmlformats.org/spreadsheetml/2006/main">
  <c r="B7" i="8" l="1"/>
  <c r="B6" i="8"/>
  <c r="B5" i="8"/>
  <c r="B3" i="8"/>
  <c r="B2" i="8"/>
  <c r="B4" i="8" l="1"/>
  <c r="B11" i="6" l="1"/>
  <c r="B6" i="7"/>
  <c r="B5" i="7"/>
  <c r="B4" i="7"/>
  <c r="B3" i="7"/>
  <c r="B2" i="7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1408" i="1"/>
  <c r="Q1409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B3" i="5"/>
  <c r="B2" i="5"/>
  <c r="B17" i="3"/>
  <c r="B16" i="3"/>
  <c r="B15" i="3"/>
  <c r="B14" i="3"/>
  <c r="B13" i="3"/>
  <c r="B12" i="3"/>
  <c r="B11" i="3"/>
  <c r="B10" i="3"/>
  <c r="B9" i="3"/>
  <c r="B8" i="3"/>
  <c r="B6" i="3"/>
  <c r="B7" i="3"/>
  <c r="B5" i="3"/>
  <c r="B4" i="3"/>
  <c r="B3" i="3"/>
  <c r="B2" i="3"/>
</calcChain>
</file>

<file path=xl/sharedStrings.xml><?xml version="1.0" encoding="utf-8"?>
<sst xmlns="http://schemas.openxmlformats.org/spreadsheetml/2006/main" count="8527" uniqueCount="1489">
  <si>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</si>
  <si>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</si>
  <si>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</si>
  <si>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</si>
  <si>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</si>
  <si>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</si>
  <si>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</si>
  <si>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</si>
  <si>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</si>
  <si>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</si>
  <si>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</si>
  <si>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</si>
  <si>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</si>
  <si>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</si>
  <si>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</si>
  <si>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</si>
  <si>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</si>
  <si>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</si>
  <si>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</si>
  <si>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</si>
  <si>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</si>
  <si>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</si>
  <si>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</si>
  <si>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</si>
  <si>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</si>
  <si>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</si>
  <si>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</si>
  <si>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</si>
  <si>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</si>
  <si>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</si>
  <si>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</si>
  <si>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</si>
  <si>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</si>
  <si>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</si>
  <si>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</si>
  <si>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</si>
  <si>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</si>
  <si>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</si>
  <si>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</si>
  <si>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</si>
  <si>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</si>
  <si>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</si>
  <si>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</si>
  <si>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</si>
  <si>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</si>
  <si>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</si>
  <si>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</si>
  <si>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</si>
  <si>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</si>
  <si>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</si>
  <si>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</si>
  <si>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</si>
  <si>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</si>
  <si>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</si>
  <si>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</si>
  <si>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</si>
  <si>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</si>
  <si>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</si>
  <si>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</si>
  <si>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</si>
  <si>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</si>
  <si>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</si>
  <si>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</si>
  <si>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</si>
  <si>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</si>
  <si>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</si>
  <si>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</si>
  <si>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</si>
  <si>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</si>
  <si>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</si>
  <si>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</si>
  <si>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</si>
  <si>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</si>
  <si>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</si>
  <si>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</si>
  <si>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</si>
  <si>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</si>
  <si>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</si>
  <si>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</si>
  <si>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</si>
  <si>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</si>
  <si>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</si>
  <si>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</si>
  <si>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</si>
  <si>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</si>
  <si>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</si>
  <si>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</si>
  <si>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</si>
  <si>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</si>
  <si>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</si>
  <si>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</si>
  <si>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</si>
  <si>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</si>
  <si>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</si>
  <si>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</si>
  <si>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</si>
  <si>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</si>
  <si>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</si>
  <si>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</si>
  <si>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</si>
  <si>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</si>
  <si>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</si>
  <si>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</si>
  <si>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</si>
  <si>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</si>
  <si>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</si>
  <si>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</si>
  <si>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</si>
  <si>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</si>
  <si>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</si>
  <si>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</si>
  <si>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</si>
  <si>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</si>
  <si>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</si>
  <si>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</si>
  <si>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</si>
  <si>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</si>
  <si>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</si>
  <si>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</si>
  <si>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</si>
  <si>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</si>
  <si>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</si>
  <si>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</si>
  <si>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</si>
  <si>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</si>
  <si>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</si>
  <si>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</si>
  <si>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</si>
  <si>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</si>
  <si>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</si>
  <si>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</si>
  <si>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</si>
  <si>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</si>
  <si>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</si>
  <si>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</si>
  <si>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</si>
  <si>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</si>
  <si>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</si>
  <si>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</si>
  <si>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</si>
  <si>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</si>
  <si>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</si>
  <si>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</si>
  <si>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</si>
  <si>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</si>
  <si>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</si>
  <si>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</si>
  <si>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</si>
  <si>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</si>
  <si>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</si>
  <si>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</si>
  <si>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</si>
  <si>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</si>
  <si>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</si>
  <si>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</si>
  <si>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</si>
  <si>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</si>
  <si>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</si>
  <si>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</si>
  <si>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</si>
  <si>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</si>
  <si>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</si>
  <si>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</si>
  <si>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</si>
  <si>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</si>
  <si>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</si>
  <si>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</si>
  <si>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</si>
  <si>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</si>
  <si>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</si>
  <si>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</si>
  <si>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</si>
  <si>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</si>
  <si>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</si>
  <si>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</si>
  <si>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</si>
  <si>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</si>
  <si>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</si>
  <si>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</si>
  <si>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</si>
  <si>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</si>
  <si>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</si>
  <si>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</si>
  <si>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</si>
  <si>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</si>
  <si>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</si>
  <si>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</si>
  <si>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</si>
  <si>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</si>
  <si>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</si>
  <si>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</si>
  <si>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</si>
  <si>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</si>
  <si>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</si>
  <si>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</si>
  <si>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</si>
  <si>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</si>
  <si>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</si>
  <si>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</si>
  <si>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</si>
  <si>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</si>
  <si>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</si>
  <si>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</si>
  <si>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</si>
  <si>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</si>
  <si>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</si>
  <si>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</si>
  <si>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</si>
  <si>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</si>
  <si>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</si>
  <si>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</si>
  <si>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</si>
  <si>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</si>
  <si>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</si>
  <si>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</si>
  <si>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</si>
  <si>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</si>
  <si>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</si>
  <si>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</si>
  <si>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</si>
  <si>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</si>
  <si>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</si>
  <si>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</si>
  <si>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</si>
  <si>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</si>
  <si>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</si>
  <si>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</si>
  <si>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</si>
  <si>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</si>
  <si>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</si>
  <si>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</si>
  <si>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</si>
  <si>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</si>
  <si>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</si>
  <si>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</si>
  <si>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</si>
  <si>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</si>
  <si>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</si>
  <si>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</si>
  <si>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</si>
  <si>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</si>
  <si>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</si>
  <si>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</si>
  <si>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</si>
  <si>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</si>
  <si>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</si>
  <si>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</si>
  <si>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</si>
  <si>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</si>
  <si>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</si>
  <si>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</si>
  <si>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</si>
  <si>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</si>
  <si>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</si>
  <si>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</si>
  <si>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</si>
  <si>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</si>
  <si>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</si>
  <si>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</si>
  <si>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</si>
  <si>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</si>
  <si>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</si>
  <si>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</si>
  <si>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</si>
  <si>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</si>
  <si>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</si>
  <si>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</si>
  <si>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</si>
  <si>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</si>
  <si>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</si>
  <si>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</si>
  <si>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</si>
  <si>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</si>
  <si>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</si>
  <si>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</si>
  <si>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</si>
  <si>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</si>
  <si>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</si>
  <si>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</si>
  <si>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</si>
  <si>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</si>
  <si>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</si>
  <si>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</si>
  <si>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</si>
  <si>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</si>
  <si>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</si>
  <si>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</si>
  <si>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</si>
  <si>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</si>
  <si>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</si>
  <si>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</si>
  <si>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</si>
  <si>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</si>
  <si>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</si>
  <si>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</si>
  <si>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</si>
  <si>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</si>
  <si>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</si>
  <si>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</si>
  <si>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</si>
  <si>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</si>
  <si>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</si>
  <si>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</si>
  <si>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</si>
  <si>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</si>
  <si>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</si>
  <si>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</si>
  <si>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</si>
  <si>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</si>
  <si>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</si>
  <si>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</si>
  <si>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</si>
  <si>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</si>
  <si>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</si>
  <si>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</si>
  <si>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</si>
  <si>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</si>
  <si>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</si>
  <si>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</si>
  <si>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</si>
  <si>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</si>
  <si>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</si>
  <si>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</si>
  <si>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</si>
  <si>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</si>
  <si>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</si>
  <si>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</si>
  <si>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</si>
  <si>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</si>
  <si>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</si>
  <si>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</si>
  <si>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</si>
  <si>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</si>
  <si>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</si>
  <si>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</si>
  <si>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</si>
  <si>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</si>
  <si>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</si>
  <si>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</si>
  <si>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</si>
  <si>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</si>
  <si>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</si>
  <si>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</si>
  <si>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</si>
  <si>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</si>
  <si>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</si>
  <si>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</si>
  <si>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</si>
  <si>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</si>
  <si>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</si>
  <si>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</si>
  <si>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</si>
  <si>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</si>
  <si>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</si>
  <si>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</si>
  <si>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</si>
  <si>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</si>
  <si>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</si>
  <si>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</si>
  <si>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</si>
  <si>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</si>
  <si>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</si>
  <si>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</si>
  <si>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</si>
  <si>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</si>
  <si>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</si>
  <si>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</si>
  <si>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</si>
  <si>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</si>
  <si>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</si>
  <si>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</si>
  <si>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</si>
  <si>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</si>
  <si>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</si>
  <si>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</si>
  <si>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</si>
  <si>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</si>
  <si>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</si>
  <si>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</si>
  <si>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</si>
  <si>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</si>
  <si>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</si>
  <si>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</si>
  <si>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</si>
  <si>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</si>
  <si>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</si>
  <si>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</si>
  <si>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</si>
  <si>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</si>
  <si>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</si>
  <si>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</si>
  <si>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</si>
  <si>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</si>
  <si>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</si>
  <si>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</si>
  <si>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</si>
  <si>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</si>
  <si>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</si>
  <si>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</si>
  <si>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</si>
  <si>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</si>
  <si>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</si>
  <si>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</si>
  <si>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</si>
  <si>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</si>
  <si>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</si>
  <si>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</si>
  <si>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</si>
  <si>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</si>
  <si>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</si>
  <si>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</si>
  <si>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</si>
  <si>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</si>
  <si>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</si>
  <si>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</si>
  <si>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</si>
  <si>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</si>
  <si>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</si>
  <si>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</si>
  <si>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</si>
  <si>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</si>
  <si>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</si>
  <si>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</si>
  <si>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</si>
  <si>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</si>
  <si>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</si>
  <si>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</si>
  <si>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</si>
  <si>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</si>
  <si>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</si>
  <si>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</si>
  <si>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</si>
  <si>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</si>
  <si>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</si>
  <si>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</si>
  <si>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</si>
  <si>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</si>
  <si>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</si>
  <si>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</si>
  <si>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</si>
  <si>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</si>
  <si>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</si>
  <si>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</si>
  <si>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</si>
  <si>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</si>
  <si>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</si>
  <si>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</si>
  <si>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</si>
  <si>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</si>
  <si>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</si>
  <si>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</si>
  <si>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</si>
  <si>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</si>
  <si>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</si>
  <si>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</si>
  <si>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</si>
  <si>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</si>
  <si>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</si>
  <si>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</si>
  <si>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</si>
  <si>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</si>
  <si>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</si>
  <si>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</si>
  <si>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</si>
  <si>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</si>
  <si>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</si>
  <si>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</si>
  <si>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</si>
  <si>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</si>
  <si>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</si>
  <si>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</si>
  <si>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</si>
  <si>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</si>
  <si>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</si>
  <si>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</si>
  <si>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</si>
  <si>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</si>
  <si>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</si>
  <si>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</si>
  <si>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</si>
  <si>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</si>
  <si>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</si>
  <si>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</si>
  <si>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</si>
  <si>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</si>
  <si>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</si>
  <si>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</si>
  <si>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</si>
  <si>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</si>
  <si>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</si>
  <si>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</si>
  <si>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</si>
  <si>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</si>
  <si>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</si>
  <si>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</si>
  <si>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</si>
  <si>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</si>
  <si>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</si>
  <si>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</si>
  <si>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</si>
  <si>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</si>
  <si>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</si>
  <si>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</si>
  <si>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</si>
  <si>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</si>
  <si>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</si>
  <si>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</si>
  <si>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</si>
  <si>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</si>
  <si>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</si>
  <si>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</si>
  <si>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</si>
  <si>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</si>
  <si>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</si>
  <si>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</si>
  <si>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</si>
  <si>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</si>
  <si>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</si>
  <si>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</si>
  <si>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</si>
  <si>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</si>
  <si>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</si>
  <si>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</si>
  <si>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</si>
  <si>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</si>
  <si>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</si>
  <si>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</si>
  <si>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</si>
  <si>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</si>
  <si>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</si>
  <si>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</si>
  <si>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</si>
  <si>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</si>
  <si>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</si>
  <si>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</si>
  <si>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</si>
  <si>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</si>
  <si>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</si>
  <si>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</si>
  <si>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</si>
  <si>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</si>
  <si>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</si>
  <si>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</si>
  <si>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</si>
  <si>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</si>
  <si>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</si>
  <si>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</si>
  <si>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</si>
  <si>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</si>
  <si>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</si>
  <si>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</si>
  <si>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</si>
  <si>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</si>
  <si>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</si>
  <si>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</si>
  <si>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</si>
  <si>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</si>
  <si>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</si>
  <si>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</si>
  <si>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</si>
  <si>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</si>
  <si>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</si>
  <si>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</si>
  <si>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</si>
  <si>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</si>
  <si>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</si>
  <si>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</si>
  <si>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</si>
  <si>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</si>
  <si>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</si>
  <si>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</si>
  <si>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</si>
  <si>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</si>
  <si>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</si>
  <si>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</si>
  <si>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</si>
  <si>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</si>
  <si>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</si>
  <si>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</si>
  <si>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</si>
  <si>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</si>
  <si>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</si>
  <si>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</si>
  <si>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</si>
  <si>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</si>
  <si>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</si>
  <si>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</si>
  <si>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</si>
  <si>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</si>
  <si>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</si>
  <si>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</si>
  <si>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</si>
  <si>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</si>
  <si>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</si>
  <si>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</si>
  <si>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</si>
  <si>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</si>
  <si>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</si>
  <si>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</si>
  <si>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</si>
  <si>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</si>
  <si>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</si>
  <si>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</si>
  <si>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</si>
  <si>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</si>
  <si>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</si>
  <si>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</si>
  <si>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</si>
  <si>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</si>
  <si>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</si>
  <si>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</si>
  <si>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</si>
  <si>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</si>
  <si>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</si>
  <si>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</si>
  <si>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</si>
  <si>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</si>
  <si>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</si>
  <si>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</si>
  <si>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</si>
  <si>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</si>
  <si>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</si>
  <si>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</si>
  <si>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</si>
  <si>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</si>
  <si>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</si>
  <si>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</si>
  <si>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</si>
  <si>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</si>
  <si>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</si>
  <si>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</si>
  <si>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</si>
  <si>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</si>
  <si>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</si>
  <si>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</si>
  <si>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</si>
  <si>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</si>
  <si>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</si>
  <si>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</si>
  <si>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</si>
  <si>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</si>
  <si>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</si>
  <si>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</si>
  <si>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</si>
  <si>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</si>
  <si>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</si>
  <si>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</si>
  <si>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</si>
  <si>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</si>
  <si>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</si>
  <si>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</si>
  <si>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</si>
  <si>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</si>
  <si>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</si>
  <si>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</si>
  <si>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</si>
  <si>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</si>
  <si>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</si>
  <si>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</si>
  <si>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</si>
  <si>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</si>
  <si>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</si>
  <si>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</si>
  <si>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</si>
  <si>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</si>
  <si>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</si>
  <si>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</si>
  <si>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</si>
  <si>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</si>
  <si>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</si>
  <si>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</si>
  <si>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</si>
  <si>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</si>
  <si>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</si>
  <si>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</si>
  <si>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</si>
  <si>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</si>
  <si>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</si>
  <si>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</si>
  <si>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</si>
  <si>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</si>
  <si>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</si>
  <si>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</si>
  <si>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</si>
  <si>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</si>
  <si>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</si>
  <si>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</si>
  <si>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</si>
  <si>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</si>
  <si>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</si>
  <si>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</si>
  <si>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</si>
  <si>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</si>
  <si>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</si>
  <si>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</si>
  <si>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</si>
  <si>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</si>
  <si>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</si>
  <si>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</si>
  <si>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</si>
  <si>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</si>
  <si>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</si>
  <si>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</si>
  <si>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</si>
  <si>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</si>
  <si>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</si>
  <si>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</si>
  <si>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</si>
  <si>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</si>
  <si>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</si>
  <si>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</si>
  <si>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</si>
  <si>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</si>
  <si>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</si>
  <si>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</si>
  <si>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</si>
  <si>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</si>
  <si>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</si>
  <si>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</si>
  <si>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</si>
  <si>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</si>
  <si>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</si>
  <si>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</si>
  <si>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</si>
  <si>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</si>
  <si>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</si>
  <si>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</si>
  <si>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</si>
  <si>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</si>
  <si>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</si>
  <si>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</si>
  <si>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</si>
  <si>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</si>
  <si>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</si>
  <si>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</si>
  <si>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</si>
  <si>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</si>
  <si>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</si>
  <si>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</si>
  <si>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</si>
  <si>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</si>
  <si>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</si>
  <si>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</si>
  <si>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</si>
  <si>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</si>
  <si>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</si>
  <si>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</si>
  <si>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</si>
  <si>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</si>
  <si>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</si>
  <si>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</si>
  <si>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</si>
  <si>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</si>
  <si>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</si>
  <si>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</si>
  <si>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</si>
  <si>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</si>
  <si>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</si>
  <si>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</si>
  <si>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</si>
  <si>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</si>
  <si>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</si>
  <si>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</si>
  <si>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</si>
  <si>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</si>
  <si>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</si>
  <si>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</si>
  <si>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</si>
  <si>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</si>
  <si>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</si>
  <si>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</si>
  <si>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</si>
  <si>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</si>
  <si>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</si>
  <si>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</si>
  <si>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</si>
  <si>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</si>
  <si>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</si>
  <si>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</si>
  <si>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</si>
  <si>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</si>
  <si>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</si>
  <si>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</si>
  <si>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</si>
  <si>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</si>
  <si>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</si>
  <si>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</si>
  <si>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</si>
  <si>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</si>
  <si>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</si>
  <si>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</si>
  <si>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</si>
  <si>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</si>
  <si>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</si>
  <si>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</si>
  <si>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</si>
  <si>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</si>
  <si>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</si>
  <si>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</si>
  <si>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</si>
  <si>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</si>
  <si>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</si>
  <si>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</si>
  <si>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</si>
  <si>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</si>
  <si>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</si>
  <si>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</si>
  <si>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</si>
  <si>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</si>
  <si>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</si>
  <si>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</si>
  <si>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</si>
  <si>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</si>
  <si>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</si>
  <si>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</si>
  <si>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</si>
  <si>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</si>
  <si>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</si>
  <si>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</si>
  <si>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</si>
  <si>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</si>
  <si>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</si>
  <si>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</si>
  <si>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</si>
  <si>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</si>
  <si>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</si>
  <si>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</si>
  <si>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</si>
  <si>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</si>
  <si>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</si>
  <si>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</si>
  <si>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</si>
  <si>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</si>
  <si>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</si>
  <si>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</si>
  <si>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</si>
  <si>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</si>
  <si>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</si>
  <si>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</si>
  <si>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</si>
  <si>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</si>
  <si>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</si>
  <si>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</si>
  <si>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</si>
  <si>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</si>
  <si>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</si>
  <si>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</si>
  <si>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</si>
  <si>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</si>
  <si>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</si>
  <si>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</si>
  <si>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</si>
  <si>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</si>
  <si>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</si>
  <si>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</si>
  <si>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</si>
  <si>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</si>
  <si>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</si>
  <si>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</si>
  <si>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</si>
  <si>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</si>
  <si>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</si>
  <si>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</si>
  <si>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</si>
  <si>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</si>
  <si>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</si>
  <si>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</si>
  <si>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</si>
  <si>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</si>
  <si>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</si>
  <si>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</si>
  <si>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</si>
  <si>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</si>
  <si>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</si>
  <si>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</si>
  <si>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</si>
  <si>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</si>
  <si>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</si>
  <si>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</si>
  <si>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</si>
  <si>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</si>
  <si>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</si>
  <si>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</si>
  <si>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</si>
  <si>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</si>
  <si>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</si>
  <si>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</si>
  <si>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</si>
  <si>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</si>
  <si>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</si>
  <si>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</si>
  <si>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</si>
  <si>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</si>
  <si>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</si>
  <si>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</si>
  <si>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</si>
  <si>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</si>
  <si>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</si>
  <si>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</si>
  <si>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</si>
  <si>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</si>
  <si>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</si>
  <si>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</si>
  <si>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</si>
  <si>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</si>
  <si>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</si>
  <si>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</si>
  <si>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</si>
  <si>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</si>
  <si>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</si>
  <si>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</si>
  <si>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</si>
  <si>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</si>
  <si>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</si>
  <si>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</si>
  <si>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</si>
  <si>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</si>
  <si>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</si>
  <si>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</si>
  <si>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</si>
  <si>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</si>
  <si>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</si>
  <si>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</si>
  <si>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</si>
  <si>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</si>
  <si>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</si>
  <si>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</si>
  <si>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</si>
  <si>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</si>
  <si>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</si>
  <si>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</si>
  <si>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</si>
  <si>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</si>
  <si>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</si>
  <si>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</si>
  <si>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</si>
  <si>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</si>
  <si>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</si>
  <si>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</si>
  <si>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</si>
  <si>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</si>
  <si>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</si>
  <si>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</si>
  <si>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</si>
  <si>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</si>
  <si>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</si>
  <si>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</si>
  <si>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</si>
  <si>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</si>
  <si>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</si>
  <si>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</si>
  <si>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</si>
  <si>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</si>
  <si>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</si>
  <si>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</si>
  <si>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</si>
  <si>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</si>
  <si>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</si>
  <si>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</si>
  <si>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</si>
  <si>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</si>
  <si>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</si>
  <si>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</si>
  <si>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</si>
  <si>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</si>
  <si>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</si>
  <si>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</si>
  <si>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</si>
  <si>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</si>
  <si>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</si>
  <si>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</si>
  <si>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</si>
  <si>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</si>
  <si>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</si>
  <si>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</si>
  <si>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</si>
  <si>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</si>
  <si>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</si>
  <si>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</si>
  <si>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</si>
  <si>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</si>
  <si>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</si>
  <si>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</si>
  <si>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</si>
  <si>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</si>
  <si>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</si>
  <si>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</si>
  <si>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</si>
  <si>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</si>
  <si>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</si>
  <si>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</si>
  <si>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</si>
  <si>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</si>
  <si>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</si>
  <si>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</si>
  <si>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</si>
  <si>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</si>
  <si>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</si>
  <si>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</si>
  <si>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</si>
  <si>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</si>
  <si>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</si>
  <si>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</si>
  <si>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</si>
  <si>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</si>
  <si>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</si>
  <si>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</si>
  <si>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</si>
  <si>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</si>
  <si>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</si>
  <si>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</si>
  <si>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</si>
  <si>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</si>
  <si>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</si>
  <si>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</si>
  <si>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</si>
  <si>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</si>
  <si>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</si>
  <si>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</si>
  <si>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</si>
  <si>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</si>
  <si>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</si>
  <si>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</si>
  <si>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</si>
  <si>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</si>
  <si>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</si>
  <si>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</si>
  <si>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</si>
  <si>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</si>
  <si>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</si>
  <si>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</si>
  <si>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</si>
  <si>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</si>
  <si>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</si>
  <si>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</si>
  <si>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</si>
  <si>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</si>
  <si>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</si>
  <si>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</si>
  <si>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</si>
  <si>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</si>
  <si>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</si>
  <si>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</si>
  <si>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</si>
  <si>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</si>
  <si>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</si>
  <si>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</si>
  <si>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</si>
  <si>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</si>
  <si>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</si>
  <si>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</si>
  <si>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</si>
  <si>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</si>
  <si>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</si>
  <si>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</si>
  <si>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</si>
  <si>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</si>
  <si>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</si>
  <si>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</si>
  <si>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</si>
  <si>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</si>
  <si>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</si>
  <si>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</si>
  <si>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</si>
  <si>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</si>
  <si>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</si>
  <si>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</si>
  <si>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</si>
  <si>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</si>
  <si>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</si>
  <si>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</si>
  <si>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</si>
  <si>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</si>
  <si>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</si>
  <si>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</si>
  <si>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</si>
  <si>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</si>
  <si>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</si>
  <si>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</si>
  <si>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</si>
  <si>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</si>
  <si>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</si>
  <si>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</si>
  <si>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</si>
  <si>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</si>
  <si>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</si>
  <si>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</si>
  <si>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</si>
  <si>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</si>
  <si>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</si>
  <si>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</si>
  <si>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</si>
  <si>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</si>
  <si>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</si>
  <si>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</si>
  <si>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</si>
  <si>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</si>
  <si>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</si>
  <si>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</si>
  <si>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</si>
  <si>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</si>
  <si>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</si>
  <si>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</si>
  <si>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</si>
  <si>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</si>
  <si>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</si>
  <si>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</si>
  <si>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</si>
  <si>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</si>
  <si>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</si>
  <si>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</si>
  <si>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</si>
  <si>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</si>
  <si>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</si>
  <si>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</si>
  <si>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</si>
  <si>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</si>
  <si>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</si>
  <si>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</si>
  <si>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</si>
  <si>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</si>
  <si>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</si>
  <si>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</si>
  <si>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</si>
  <si>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</si>
  <si>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</si>
  <si>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</si>
  <si>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</si>
  <si>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</si>
  <si>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</si>
  <si>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</si>
  <si>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</si>
  <si>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</si>
  <si>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</si>
  <si>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</si>
  <si>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</si>
  <si>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</si>
  <si>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</si>
  <si>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</si>
  <si>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</si>
  <si>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</si>
  <si>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</si>
  <si>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</si>
  <si>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</si>
  <si>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</si>
  <si>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</si>
  <si>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</si>
  <si>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</si>
  <si>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</si>
  <si>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</si>
  <si>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</si>
  <si>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</si>
  <si>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</si>
  <si>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</si>
  <si>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</si>
  <si>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</si>
  <si>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</si>
  <si>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</si>
  <si>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</si>
  <si>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</si>
  <si>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</si>
  <si>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</si>
  <si>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</si>
  <si>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</si>
  <si>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</si>
  <si>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</si>
  <si>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</si>
  <si>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</si>
  <si>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</si>
  <si>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</si>
  <si>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</si>
  <si>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</si>
  <si>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</si>
  <si>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</si>
  <si>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</si>
  <si>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</si>
  <si>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</si>
  <si>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</si>
  <si>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</si>
  <si>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</si>
  <si>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</si>
  <si>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</si>
  <si>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</si>
  <si>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</si>
  <si>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</si>
  <si>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</si>
  <si>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</si>
  <si>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</si>
  <si>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</si>
  <si>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</si>
  <si>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</si>
  <si>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</si>
  <si>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</si>
  <si>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</si>
  <si>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</si>
  <si>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</si>
  <si>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</si>
  <si>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</si>
  <si>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</si>
  <si>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</si>
  <si>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</si>
  <si>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</si>
  <si>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</si>
  <si>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</si>
  <si>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</si>
  <si>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</si>
  <si>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</si>
  <si>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</si>
  <si>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</si>
  <si>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</si>
  <si>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</si>
  <si>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</si>
  <si>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</si>
  <si>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</si>
  <si>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</si>
  <si>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</si>
  <si>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</si>
  <si>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</si>
  <si>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</si>
  <si>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</si>
  <si>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</si>
  <si>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</si>
  <si>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</si>
  <si>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</si>
  <si>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</si>
  <si>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</si>
  <si>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</si>
  <si>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</si>
  <si>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</si>
  <si>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</si>
  <si>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</si>
  <si>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</si>
  <si>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</si>
  <si>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</si>
  <si>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</si>
  <si>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</si>
  <si>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</si>
  <si>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</si>
  <si>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</si>
  <si>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</si>
  <si>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</si>
  <si>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</si>
  <si>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</si>
  <si>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</si>
  <si>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</si>
  <si>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</si>
  <si>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</si>
  <si>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</si>
  <si>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</si>
  <si>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</si>
  <si>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</si>
  <si>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</si>
  <si>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</si>
  <si>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</si>
  <si>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</si>
  <si>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</si>
  <si>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</si>
  <si>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</si>
  <si>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</si>
  <si>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</si>
  <si>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</si>
  <si>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</si>
  <si>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</si>
  <si>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</si>
  <si>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</si>
  <si>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</si>
  <si>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</si>
  <si>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</si>
  <si>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</si>
  <si>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</si>
  <si>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</si>
  <si>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</si>
  <si>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</si>
  <si>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</si>
  <si>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</si>
  <si>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</si>
  <si>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</si>
  <si>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</si>
  <si>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</si>
  <si>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</si>
  <si>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</si>
  <si>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</si>
  <si>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</si>
  <si>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</si>
  <si>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</si>
  <si>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</si>
  <si>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</si>
  <si>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</si>
  <si>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</si>
  <si>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</si>
  <si>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</si>
  <si>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</si>
  <si>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</si>
  <si>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</si>
  <si>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</si>
  <si>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</si>
  <si>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</si>
  <si>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</si>
  <si>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</si>
  <si>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</si>
  <si>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</si>
  <si>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</si>
  <si>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</si>
  <si>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</si>
  <si>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</si>
  <si>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</si>
  <si>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</si>
  <si>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</si>
  <si>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</si>
  <si>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</si>
  <si>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</si>
  <si>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</si>
  <si>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</si>
  <si>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</si>
  <si>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</si>
  <si>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</si>
  <si>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</si>
  <si>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</si>
  <si>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</si>
  <si>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</si>
  <si>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</si>
  <si>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</si>
  <si>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</si>
  <si>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</si>
  <si>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</si>
  <si>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</si>
  <si>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</si>
  <si>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</si>
  <si>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</si>
  <si>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</si>
  <si>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</si>
  <si>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</si>
  <si>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</si>
  <si>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</si>
  <si>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</si>
  <si>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</si>
  <si>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</si>
  <si>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</si>
  <si>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</si>
  <si>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</si>
  <si>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</si>
  <si>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</si>
  <si>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</si>
  <si>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</si>
  <si>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</si>
  <si>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</si>
  <si>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</si>
  <si>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</si>
  <si>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</si>
  <si>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</si>
  <si>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</si>
  <si>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</si>
  <si>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</si>
  <si>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</si>
  <si>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</si>
  <si>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</si>
  <si>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</si>
  <si>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</si>
  <si>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</si>
  <si>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</si>
  <si>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</si>
  <si>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</si>
  <si>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</si>
  <si>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</si>
  <si>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</si>
  <si>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</si>
  <si>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</si>
  <si>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</si>
  <si>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</si>
  <si>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</si>
  <si>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</si>
  <si>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</si>
  <si>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</si>
  <si>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</si>
  <si>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</si>
  <si>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</si>
  <si>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</si>
  <si>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</si>
  <si>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</si>
  <si>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</si>
  <si>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</si>
  <si>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</si>
  <si>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</si>
  <si>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</si>
  <si>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</si>
  <si>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</si>
  <si>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</si>
  <si>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</si>
  <si>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</si>
  <si>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</si>
  <si>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</si>
  <si>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</si>
  <si>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</si>
  <si>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</si>
  <si>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</si>
  <si>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</si>
  <si>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</si>
  <si>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</si>
  <si>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</si>
  <si>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</si>
  <si>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</si>
  <si>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</si>
  <si>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</si>
  <si>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</si>
  <si>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</si>
  <si>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</si>
  <si>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</si>
  <si>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</si>
  <si>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</si>
  <si>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</si>
  <si>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</si>
  <si>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</si>
  <si>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</si>
  <si>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</si>
  <si>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</si>
  <si>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</si>
  <si>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</si>
  <si>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</si>
  <si>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</si>
  <si>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</si>
  <si>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</si>
  <si>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</si>
  <si>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</si>
  <si>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</si>
  <si>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</si>
  <si>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</si>
  <si>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</si>
  <si>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</si>
  <si>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</si>
  <si>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</si>
  <si>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</si>
  <si>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</si>
  <si>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</si>
  <si>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</si>
  <si>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</si>
  <si>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</si>
  <si>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</si>
  <si>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</si>
  <si>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</si>
  <si>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</si>
  <si>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</si>
  <si>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</si>
  <si>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</si>
  <si>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</si>
  <si>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</si>
  <si>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</si>
  <si>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</si>
  <si>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</si>
  <si>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</si>
  <si>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</si>
  <si>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</si>
  <si>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Missing Values</t>
  </si>
  <si>
    <t>Column Name</t>
  </si>
  <si>
    <t>Group</t>
  </si>
  <si>
    <t>Control Group</t>
  </si>
  <si>
    <t>Treatment Group</t>
  </si>
  <si>
    <t>Count</t>
  </si>
  <si>
    <t>Duplicate_User_ID</t>
  </si>
  <si>
    <t>Duplicate User ID</t>
  </si>
  <si>
    <t>Total</t>
  </si>
  <si>
    <t>Invalid_binary_values</t>
  </si>
  <si>
    <t>Column</t>
  </si>
  <si>
    <t>Values</t>
  </si>
  <si>
    <t>Row Labels</t>
  </si>
  <si>
    <t>Grand Total</t>
  </si>
  <si>
    <t>Column Labels</t>
  </si>
  <si>
    <t>(blank)</t>
  </si>
  <si>
    <t>Count of experiment_group</t>
  </si>
  <si>
    <t>Revenue Outliers</t>
  </si>
  <si>
    <t>Mean revenue</t>
  </si>
  <si>
    <t>Std dev revenue</t>
  </si>
  <si>
    <t>Outlier threshold (mean+3*std)</t>
  </si>
  <si>
    <t>Outlier count</t>
  </si>
  <si>
    <t>Minimum revenue</t>
  </si>
  <si>
    <t>Maximum revenue</t>
  </si>
  <si>
    <t>Column1</t>
  </si>
  <si>
    <t>Final Documentation Sheet</t>
  </si>
  <si>
    <t>Check</t>
  </si>
  <si>
    <t>Results</t>
  </si>
  <si>
    <t>Group Counts</t>
  </si>
  <si>
    <t>Control=693 , Treatment=715</t>
  </si>
  <si>
    <t>Duplicate User Ids</t>
  </si>
  <si>
    <t>16 found</t>
  </si>
  <si>
    <t>Revenue Outliners</t>
  </si>
  <si>
    <t xml:space="preserve"> Minimum Revenue:$0.00,Maximum revenue:$8610.72, Potential outliners indentified:27</t>
  </si>
  <si>
    <t>Segment Distribution</t>
  </si>
  <si>
    <t>Balanced</t>
  </si>
  <si>
    <t>Column2</t>
  </si>
  <si>
    <t>Device=18, Traffic=24, days_to_convert=1336, engagement_score=14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</si>
</sst>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NumberFormat="1" applyFont="1" applyFill="1" applyBorder="1" applyAlignment="1"/>
    <xf numFmtId="0" fontId="0" fillId="0" borderId="1" xfId="0" applyBorder="1"/>
    <xf numFmtId="0" fontId="0" fillId="0" borderId="12" xfId="0" applyBorder="1"/>
    <xf numFmtId="0" fontId="0" fillId="0" borderId="11" xfId="0" applyNumberFormat="1" applyFont="1" applyFill="1" applyBorder="1" applyAlignment="1"/>
    <xf numFmtId="0" fontId="0" fillId="0" borderId="13" xfId="0" applyBorder="1"/>
  </cellXfs>
  <cellStyles count="1">
    <cellStyle name="Normal" xfId="0" builtinId="0"/>
  </cellStyles>
  <dxfs count="6"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arti Parmar" refreshedDate="46198.878130787038" createdVersion="5" refreshedVersion="5" minRefreshableVersion="3" recordCount="1409">
  <cacheSource type="worksheet">
    <worksheetSource ref="A1:G1048576" sheet="experiment_data"/>
  </cacheSource>
  <cacheFields count="7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 count="4">
        <s v="Basic"/>
        <s v="Free"/>
        <s v="Prem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9">
  <r>
    <x v="0"/>
    <d v="2025-03-16T00:00:00"/>
    <x v="0"/>
    <s v="North"/>
    <s v="Desktop"/>
    <s v="Email"/>
    <x v="0"/>
  </r>
  <r>
    <x v="1"/>
    <d v="2025-03-08T00:00:00"/>
    <x v="0"/>
    <s v="West"/>
    <s v="Mobile"/>
    <s v="Organic"/>
    <x v="1"/>
  </r>
  <r>
    <x v="2"/>
    <d v="2025-04-24T00:00:00"/>
    <x v="0"/>
    <s v="East"/>
    <s v="Mobile"/>
    <s v="Paid Search"/>
    <x v="2"/>
  </r>
  <r>
    <x v="3"/>
    <d v="2025-05-04T00:00:00"/>
    <x v="0"/>
    <s v="South"/>
    <s v="Mobile"/>
    <s v="Email"/>
    <x v="0"/>
  </r>
  <r>
    <x v="4"/>
    <d v="2025-02-12T00:00:00"/>
    <x v="0"/>
    <s v="North"/>
    <s v="Tablet"/>
    <s v="Organic"/>
    <x v="1"/>
  </r>
  <r>
    <x v="5"/>
    <d v="2025-01-28T00:00:00"/>
    <x v="0"/>
    <s v="East"/>
    <s v="Mobile"/>
    <s v="Organic"/>
    <x v="2"/>
  </r>
  <r>
    <x v="6"/>
    <d v="2025-04-08T00:00:00"/>
    <x v="0"/>
    <s v="East"/>
    <s v="Mobile"/>
    <s v="Paid Search"/>
    <x v="0"/>
  </r>
  <r>
    <x v="7"/>
    <d v="2025-05-17T00:00:00"/>
    <x v="0"/>
    <s v="South"/>
    <s v="Mobile"/>
    <s v="Paid Search"/>
    <x v="1"/>
  </r>
  <r>
    <x v="8"/>
    <d v="2025-02-23T00:00:00"/>
    <x v="0"/>
    <s v="South"/>
    <s v="Tablet"/>
    <s v="Referral"/>
    <x v="0"/>
  </r>
  <r>
    <x v="9"/>
    <d v="2025-05-29T00:00:00"/>
    <x v="0"/>
    <s v="West"/>
    <s v="Desktop"/>
    <s v="Social"/>
    <x v="1"/>
  </r>
  <r>
    <x v="10"/>
    <d v="2025-04-30T00:00:00"/>
    <x v="0"/>
    <s v="East"/>
    <s v="Mobile"/>
    <s v="Paid Search"/>
    <x v="0"/>
  </r>
  <r>
    <x v="11"/>
    <d v="2025-03-16T00:00:00"/>
    <x v="0"/>
    <s v="East"/>
    <s v="Mobile"/>
    <s v="Social"/>
    <x v="2"/>
  </r>
  <r>
    <x v="12"/>
    <d v="2025-02-07T00:00:00"/>
    <x v="0"/>
    <s v="South"/>
    <s v="Desktop"/>
    <s v="Email"/>
    <x v="0"/>
  </r>
  <r>
    <x v="13"/>
    <d v="2025-03-02T00:00:00"/>
    <x v="0"/>
    <s v="West"/>
    <s v="Mobile"/>
    <s v="Social"/>
    <x v="0"/>
  </r>
  <r>
    <x v="14"/>
    <d v="2025-05-30T00:00:00"/>
    <x v="0"/>
    <s v="South"/>
    <s v="Mobile"/>
    <s v="Organic"/>
    <x v="0"/>
  </r>
  <r>
    <x v="15"/>
    <d v="2025-03-25T00:00:00"/>
    <x v="0"/>
    <s v="South"/>
    <s v="Mobile"/>
    <s v="Social"/>
    <x v="0"/>
  </r>
  <r>
    <x v="16"/>
    <d v="2025-03-27T00:00:00"/>
    <x v="0"/>
    <s v="East"/>
    <s v="Desktop"/>
    <s v="Paid Search"/>
    <x v="1"/>
  </r>
  <r>
    <x v="17"/>
    <d v="2025-05-28T00:00:00"/>
    <x v="0"/>
    <s v="South"/>
    <s v="Desktop"/>
    <s v="Paid Search"/>
    <x v="1"/>
  </r>
  <r>
    <x v="18"/>
    <d v="2025-02-15T00:00:00"/>
    <x v="0"/>
    <s v="North"/>
    <s v="Desktop"/>
    <s v="Paid Search"/>
    <x v="0"/>
  </r>
  <r>
    <x v="19"/>
    <d v="2025-05-05T00:00:00"/>
    <x v="0"/>
    <s v="West"/>
    <s v="Desktop"/>
    <s v="Organic"/>
    <x v="0"/>
  </r>
  <r>
    <x v="20"/>
    <d v="2025-04-13T00:00:00"/>
    <x v="0"/>
    <s v="East"/>
    <s v="Mobile"/>
    <s v="Social"/>
    <x v="1"/>
  </r>
  <r>
    <x v="21"/>
    <d v="2025-05-07T00:00:00"/>
    <x v="0"/>
    <s v="North"/>
    <s v="Desktop"/>
    <s v="Paid Search"/>
    <x v="1"/>
  </r>
  <r>
    <x v="22"/>
    <d v="2025-05-25T00:00:00"/>
    <x v="0"/>
    <s v="North"/>
    <s v="Desktop"/>
    <s v="Organic"/>
    <x v="1"/>
  </r>
  <r>
    <x v="23"/>
    <d v="2025-04-01T00:00:00"/>
    <x v="0"/>
    <s v="East"/>
    <s v="Mobile"/>
    <s v="Paid Search"/>
    <x v="2"/>
  </r>
  <r>
    <x v="24"/>
    <d v="2025-02-22T00:00:00"/>
    <x v="0"/>
    <s v="North"/>
    <s v="Mobile"/>
    <s v="Paid Search"/>
    <x v="2"/>
  </r>
  <r>
    <x v="25"/>
    <d v="2025-03-24T00:00:00"/>
    <x v="0"/>
    <s v="East"/>
    <s v="Mobile"/>
    <s v="Organic"/>
    <x v="0"/>
  </r>
  <r>
    <x v="26"/>
    <d v="2025-02-13T00:00:00"/>
    <x v="0"/>
    <s v="North"/>
    <s v="Mobile"/>
    <s v="Organic"/>
    <x v="1"/>
  </r>
  <r>
    <x v="27"/>
    <d v="2025-05-30T00:00:00"/>
    <x v="0"/>
    <s v="South"/>
    <s v="Mobile"/>
    <s v="Organic"/>
    <x v="1"/>
  </r>
  <r>
    <x v="28"/>
    <d v="2025-01-20T00:00:00"/>
    <x v="0"/>
    <s v="East"/>
    <s v="Tablet"/>
    <s v="Organic"/>
    <x v="0"/>
  </r>
  <r>
    <x v="29"/>
    <d v="2025-05-19T00:00:00"/>
    <x v="0"/>
    <s v="East"/>
    <s v="Mobile"/>
    <s v="Social"/>
    <x v="0"/>
  </r>
  <r>
    <x v="30"/>
    <d v="2025-02-18T00:00:00"/>
    <x v="0"/>
    <s v="South"/>
    <s v="Mobile"/>
    <s v="Organic"/>
    <x v="0"/>
  </r>
  <r>
    <x v="31"/>
    <d v="2025-02-13T00:00:00"/>
    <x v="0"/>
    <s v="East"/>
    <s v="Mobile"/>
    <s v="Organic"/>
    <x v="1"/>
  </r>
  <r>
    <x v="32"/>
    <d v="2025-03-08T00:00:00"/>
    <x v="0"/>
    <s v="East"/>
    <s v="Desktop"/>
    <s v="Referral"/>
    <x v="2"/>
  </r>
  <r>
    <x v="33"/>
    <d v="2025-01-11T00:00:00"/>
    <x v="0"/>
    <s v="North"/>
    <s v="Mobile"/>
    <s v="Paid Search"/>
    <x v="1"/>
  </r>
  <r>
    <x v="34"/>
    <d v="2025-02-12T00:00:00"/>
    <x v="0"/>
    <s v="North"/>
    <s v="Desktop"/>
    <s v="Organic"/>
    <x v="1"/>
  </r>
  <r>
    <x v="35"/>
    <d v="2025-04-13T00:00:00"/>
    <x v="0"/>
    <s v="East"/>
    <s v="Desktop"/>
    <s v="Organic"/>
    <x v="0"/>
  </r>
  <r>
    <x v="36"/>
    <d v="2025-05-09T00:00:00"/>
    <x v="0"/>
    <s v="East"/>
    <s v="Mobile"/>
    <s v="Organic"/>
    <x v="2"/>
  </r>
  <r>
    <x v="37"/>
    <d v="2025-01-20T00:00:00"/>
    <x v="0"/>
    <s v="East"/>
    <s v="Mobile"/>
    <s v="Organic"/>
    <x v="1"/>
  </r>
  <r>
    <x v="38"/>
    <d v="2025-05-13T00:00:00"/>
    <x v="0"/>
    <s v="East"/>
    <s v="Mobile"/>
    <s v="Email"/>
    <x v="2"/>
  </r>
  <r>
    <x v="39"/>
    <d v="2025-04-07T00:00:00"/>
    <x v="0"/>
    <s v="North"/>
    <s v="Desktop"/>
    <s v="Organic"/>
    <x v="0"/>
  </r>
  <r>
    <x v="40"/>
    <d v="2025-03-31T00:00:00"/>
    <x v="0"/>
    <s v="North"/>
    <s v="Desktop"/>
    <s v="Organic"/>
    <x v="1"/>
  </r>
  <r>
    <x v="41"/>
    <d v="2025-01-25T00:00:00"/>
    <x v="0"/>
    <s v="East"/>
    <s v="Mobile"/>
    <s v="Email"/>
    <x v="2"/>
  </r>
  <r>
    <x v="42"/>
    <d v="2025-02-14T00:00:00"/>
    <x v="0"/>
    <s v="South"/>
    <s v="Desktop"/>
    <s v="Organic"/>
    <x v="1"/>
  </r>
  <r>
    <x v="43"/>
    <d v="2025-02-27T00:00:00"/>
    <x v="0"/>
    <s v="East"/>
    <s v="Mobile"/>
    <s v="Email"/>
    <x v="1"/>
  </r>
  <r>
    <x v="44"/>
    <d v="2025-03-28T00:00:00"/>
    <x v="0"/>
    <s v="East"/>
    <s v="Mobile"/>
    <s v="Social"/>
    <x v="1"/>
  </r>
  <r>
    <x v="45"/>
    <d v="2025-05-25T00:00:00"/>
    <x v="0"/>
    <s v="East"/>
    <s v="Mobile"/>
    <s v="Referral"/>
    <x v="2"/>
  </r>
  <r>
    <x v="46"/>
    <d v="2025-05-05T00:00:00"/>
    <x v="0"/>
    <s v="West"/>
    <s v="Desktop"/>
    <s v="Organic"/>
    <x v="1"/>
  </r>
  <r>
    <x v="47"/>
    <d v="2025-05-16T00:00:00"/>
    <x v="0"/>
    <s v="North"/>
    <s v="Mobile"/>
    <s v="Organic"/>
    <x v="1"/>
  </r>
  <r>
    <x v="48"/>
    <d v="2025-01-08T00:00:00"/>
    <x v="0"/>
    <s v="North"/>
    <s v="Mobile"/>
    <s v="Social"/>
    <x v="1"/>
  </r>
  <r>
    <x v="49"/>
    <d v="2025-01-06T00:00:00"/>
    <x v="0"/>
    <s v="West"/>
    <s v="Desktop"/>
    <s v="Paid Search"/>
    <x v="1"/>
  </r>
  <r>
    <x v="50"/>
    <d v="2025-01-12T00:00:00"/>
    <x v="0"/>
    <s v="North"/>
    <s v="Mobile"/>
    <s v="Social"/>
    <x v="0"/>
  </r>
  <r>
    <x v="51"/>
    <d v="2025-02-14T00:00:00"/>
    <x v="0"/>
    <s v="East"/>
    <s v="Desktop"/>
    <s v="Email"/>
    <x v="2"/>
  </r>
  <r>
    <x v="52"/>
    <d v="2025-03-10T00:00:00"/>
    <x v="0"/>
    <s v="South"/>
    <s v="Tablet"/>
    <s v="Organic"/>
    <x v="1"/>
  </r>
  <r>
    <x v="53"/>
    <d v="2025-04-20T00:00:00"/>
    <x v="0"/>
    <s v="West"/>
    <s v="Desktop"/>
    <s v="Organic"/>
    <x v="0"/>
  </r>
  <r>
    <x v="54"/>
    <d v="2025-02-19T00:00:00"/>
    <x v="0"/>
    <s v="South"/>
    <s v="Mobile"/>
    <s v="Organic"/>
    <x v="1"/>
  </r>
  <r>
    <x v="55"/>
    <d v="2025-05-17T00:00:00"/>
    <x v="0"/>
    <s v="South"/>
    <s v="Mobile"/>
    <s v="Social"/>
    <x v="0"/>
  </r>
  <r>
    <x v="56"/>
    <d v="2025-04-01T00:00:00"/>
    <x v="0"/>
    <s v="East"/>
    <s v="Mobile"/>
    <s v="Social"/>
    <x v="0"/>
  </r>
  <r>
    <x v="57"/>
    <d v="2025-02-04T00:00:00"/>
    <x v="0"/>
    <s v="North"/>
    <s v="Desktop"/>
    <s v="Organic"/>
    <x v="1"/>
  </r>
  <r>
    <x v="58"/>
    <d v="2025-04-14T00:00:00"/>
    <x v="0"/>
    <s v="North"/>
    <s v="Mobile"/>
    <s v="Social"/>
    <x v="1"/>
  </r>
  <r>
    <x v="59"/>
    <d v="2025-01-01T00:00:00"/>
    <x v="0"/>
    <s v="West"/>
    <s v="Mobile"/>
    <s v="Social"/>
    <x v="1"/>
  </r>
  <r>
    <x v="60"/>
    <d v="2025-04-02T00:00:00"/>
    <x v="0"/>
    <s v="South"/>
    <s v="Mobile"/>
    <s v="Referral"/>
    <x v="1"/>
  </r>
  <r>
    <x v="61"/>
    <d v="2025-03-29T00:00:00"/>
    <x v="0"/>
    <s v="North"/>
    <s v="Mobile"/>
    <s v="Social"/>
    <x v="2"/>
  </r>
  <r>
    <x v="62"/>
    <d v="2025-05-15T00:00:00"/>
    <x v="0"/>
    <s v="South"/>
    <s v="Desktop"/>
    <s v="Organic"/>
    <x v="1"/>
  </r>
  <r>
    <x v="63"/>
    <d v="2025-04-11T00:00:00"/>
    <x v="0"/>
    <s v="North"/>
    <s v="Mobile"/>
    <s v="Organic"/>
    <x v="0"/>
  </r>
  <r>
    <x v="64"/>
    <d v="2025-03-07T00:00:00"/>
    <x v="0"/>
    <s v="South"/>
    <s v="Desktop"/>
    <s v="Paid Search"/>
    <x v="1"/>
  </r>
  <r>
    <x v="65"/>
    <d v="2025-05-30T00:00:00"/>
    <x v="0"/>
    <s v="South"/>
    <s v="Mobile"/>
    <s v="Organic"/>
    <x v="1"/>
  </r>
  <r>
    <x v="66"/>
    <d v="2025-01-07T00:00:00"/>
    <x v="0"/>
    <s v="South"/>
    <s v="Desktop"/>
    <s v="Organic"/>
    <x v="2"/>
  </r>
  <r>
    <x v="67"/>
    <d v="2025-05-08T00:00:00"/>
    <x v="0"/>
    <s v="West"/>
    <s v="Mobile"/>
    <s v="Social"/>
    <x v="1"/>
  </r>
  <r>
    <x v="68"/>
    <d v="2025-03-19T00:00:00"/>
    <x v="0"/>
    <s v="East"/>
    <s v="Desktop"/>
    <s v="Email"/>
    <x v="1"/>
  </r>
  <r>
    <x v="69"/>
    <d v="2025-05-16T00:00:00"/>
    <x v="0"/>
    <s v="North"/>
    <s v="Desktop"/>
    <s v="Organic"/>
    <x v="1"/>
  </r>
  <r>
    <x v="70"/>
    <d v="2025-03-08T00:00:00"/>
    <x v="0"/>
    <s v="West"/>
    <s v="Mobile"/>
    <s v="Email"/>
    <x v="1"/>
  </r>
  <r>
    <x v="71"/>
    <d v="2025-03-08T00:00:00"/>
    <x v="0"/>
    <s v="East"/>
    <s v="Mobile"/>
    <s v="Email"/>
    <x v="1"/>
  </r>
  <r>
    <x v="72"/>
    <d v="2025-01-14T00:00:00"/>
    <x v="0"/>
    <s v="East"/>
    <s v="Desktop"/>
    <s v="Paid Search"/>
    <x v="0"/>
  </r>
  <r>
    <x v="73"/>
    <d v="2025-02-10T00:00:00"/>
    <x v="0"/>
    <s v="South"/>
    <s v="Mobile"/>
    <s v="Paid Search"/>
    <x v="0"/>
  </r>
  <r>
    <x v="74"/>
    <d v="2025-03-17T00:00:00"/>
    <x v="0"/>
    <s v="North"/>
    <s v="Mobile"/>
    <s v="Organic"/>
    <x v="1"/>
  </r>
  <r>
    <x v="75"/>
    <d v="2025-01-09T00:00:00"/>
    <x v="0"/>
    <s v="South"/>
    <s v="Mobile"/>
    <s v="Email"/>
    <x v="1"/>
  </r>
  <r>
    <x v="76"/>
    <d v="2025-04-17T00:00:00"/>
    <x v="0"/>
    <s v="North"/>
    <s v="Mobile"/>
    <s v="Referral"/>
    <x v="1"/>
  </r>
  <r>
    <x v="77"/>
    <d v="2025-01-16T00:00:00"/>
    <x v="0"/>
    <s v="North"/>
    <s v="Mobile"/>
    <s v="Organic"/>
    <x v="1"/>
  </r>
  <r>
    <x v="78"/>
    <d v="2025-02-20T00:00:00"/>
    <x v="0"/>
    <s v="West"/>
    <s v="Desktop"/>
    <s v="Organic"/>
    <x v="1"/>
  </r>
  <r>
    <x v="79"/>
    <d v="2025-05-21T00:00:00"/>
    <x v="0"/>
    <s v="East"/>
    <s v="Mobile"/>
    <s v="Social"/>
    <x v="1"/>
  </r>
  <r>
    <x v="80"/>
    <d v="2025-05-08T00:00:00"/>
    <x v="0"/>
    <s v="South"/>
    <s v="Mobile"/>
    <s v="Organic"/>
    <x v="1"/>
  </r>
  <r>
    <x v="81"/>
    <d v="2025-03-08T00:00:00"/>
    <x v="0"/>
    <s v="South"/>
    <s v="Mobile"/>
    <s v="Referral"/>
    <x v="1"/>
  </r>
  <r>
    <x v="82"/>
    <d v="2025-04-01T00:00:00"/>
    <x v="0"/>
    <s v="South"/>
    <s v="Desktop"/>
    <s v="Email"/>
    <x v="1"/>
  </r>
  <r>
    <x v="83"/>
    <d v="2025-03-03T00:00:00"/>
    <x v="0"/>
    <s v="West"/>
    <s v="Mobile"/>
    <s v="Social"/>
    <x v="0"/>
  </r>
  <r>
    <x v="84"/>
    <d v="2025-04-16T00:00:00"/>
    <x v="0"/>
    <s v="South"/>
    <s v="Mobile"/>
    <s v="Paid Search"/>
    <x v="1"/>
  </r>
  <r>
    <x v="85"/>
    <d v="2025-01-09T00:00:00"/>
    <x v="0"/>
    <s v="North"/>
    <s v="Desktop"/>
    <s v="Organic"/>
    <x v="1"/>
  </r>
  <r>
    <x v="86"/>
    <d v="2025-01-22T00:00:00"/>
    <x v="0"/>
    <s v="West"/>
    <s v="Desktop"/>
    <s v="Social"/>
    <x v="0"/>
  </r>
  <r>
    <x v="87"/>
    <d v="2025-04-30T00:00:00"/>
    <x v="0"/>
    <s v="South"/>
    <s v="Mobile"/>
    <s v="Email"/>
    <x v="2"/>
  </r>
  <r>
    <x v="88"/>
    <d v="2025-04-25T00:00:00"/>
    <x v="0"/>
    <s v="North"/>
    <s v="Mobile"/>
    <s v="Referral"/>
    <x v="0"/>
  </r>
  <r>
    <x v="89"/>
    <d v="2025-02-01T00:00:00"/>
    <x v="0"/>
    <s v="North"/>
    <s v="Mobile"/>
    <s v="Organic"/>
    <x v="0"/>
  </r>
  <r>
    <x v="90"/>
    <d v="2025-04-23T00:00:00"/>
    <x v="0"/>
    <s v="South"/>
    <s v="Desktop"/>
    <s v="Organic"/>
    <x v="1"/>
  </r>
  <r>
    <x v="91"/>
    <d v="2025-02-27T00:00:00"/>
    <x v="0"/>
    <s v="South"/>
    <s v="Mobile"/>
    <s v="Social"/>
    <x v="1"/>
  </r>
  <r>
    <x v="92"/>
    <d v="2025-04-09T00:00:00"/>
    <x v="0"/>
    <s v="East"/>
    <s v="Desktop"/>
    <s v="Organic"/>
    <x v="0"/>
  </r>
  <r>
    <x v="93"/>
    <d v="2025-05-13T00:00:00"/>
    <x v="0"/>
    <s v="South"/>
    <s v="Tablet"/>
    <s v="Organic"/>
    <x v="2"/>
  </r>
  <r>
    <x v="94"/>
    <d v="2025-04-13T00:00:00"/>
    <x v="0"/>
    <s v="East"/>
    <s v="Mobile"/>
    <s v="Organic"/>
    <x v="1"/>
  </r>
  <r>
    <x v="95"/>
    <d v="2025-02-05T00:00:00"/>
    <x v="0"/>
    <s v="East"/>
    <s v="Mobile"/>
    <s v="Social"/>
    <x v="1"/>
  </r>
  <r>
    <x v="96"/>
    <d v="2025-02-14T00:00:00"/>
    <x v="0"/>
    <s v="West"/>
    <s v="Mobile"/>
    <s v="Organic"/>
    <x v="0"/>
  </r>
  <r>
    <x v="97"/>
    <d v="2025-02-11T00:00:00"/>
    <x v="0"/>
    <s v="North"/>
    <s v="Desktop"/>
    <s v="Organic"/>
    <x v="2"/>
  </r>
  <r>
    <x v="98"/>
    <d v="2025-02-11T00:00:00"/>
    <x v="0"/>
    <s v="East"/>
    <s v="Desktop"/>
    <s v="Social"/>
    <x v="1"/>
  </r>
  <r>
    <x v="99"/>
    <d v="2025-05-26T00:00:00"/>
    <x v="0"/>
    <s v="North"/>
    <s v="Mobile"/>
    <s v="Organic"/>
    <x v="1"/>
  </r>
  <r>
    <x v="100"/>
    <d v="2025-03-22T00:00:00"/>
    <x v="0"/>
    <s v="North"/>
    <s v="Mobile"/>
    <s v="Paid Search"/>
    <x v="0"/>
  </r>
  <r>
    <x v="101"/>
    <d v="2025-04-08T00:00:00"/>
    <x v="0"/>
    <s v="West"/>
    <s v="Mobile"/>
    <s v="Paid Search"/>
    <x v="1"/>
  </r>
  <r>
    <x v="102"/>
    <d v="2025-04-14T00:00:00"/>
    <x v="0"/>
    <s v="North"/>
    <s v="Desktop"/>
    <s v="Social"/>
    <x v="1"/>
  </r>
  <r>
    <x v="103"/>
    <d v="2025-03-27T00:00:00"/>
    <x v="0"/>
    <s v="South"/>
    <s v="Mobile"/>
    <s v="Email"/>
    <x v="1"/>
  </r>
  <r>
    <x v="104"/>
    <d v="2025-01-05T00:00:00"/>
    <x v="0"/>
    <s v="South"/>
    <s v="Mobile"/>
    <s v="Social"/>
    <x v="1"/>
  </r>
  <r>
    <x v="105"/>
    <d v="2025-01-25T00:00:00"/>
    <x v="0"/>
    <s v="South"/>
    <s v="Mobile"/>
    <s v="Social"/>
    <x v="0"/>
  </r>
  <r>
    <x v="106"/>
    <d v="2025-01-23T00:00:00"/>
    <x v="0"/>
    <s v="West"/>
    <s v="Mobile"/>
    <s v="Email"/>
    <x v="1"/>
  </r>
  <r>
    <x v="107"/>
    <d v="2025-05-25T00:00:00"/>
    <x v="0"/>
    <s v="East"/>
    <s v="Desktop"/>
    <s v="Referral"/>
    <x v="1"/>
  </r>
  <r>
    <x v="108"/>
    <d v="2025-03-22T00:00:00"/>
    <x v="0"/>
    <s v="South"/>
    <s v="Mobile"/>
    <s v="Referral"/>
    <x v="0"/>
  </r>
  <r>
    <x v="109"/>
    <d v="2025-02-12T00:00:00"/>
    <x v="0"/>
    <s v="West"/>
    <s v="Desktop"/>
    <s v="Paid Search"/>
    <x v="0"/>
  </r>
  <r>
    <x v="110"/>
    <d v="2025-04-28T00:00:00"/>
    <x v="0"/>
    <s v="West"/>
    <s v="Desktop"/>
    <s v="Organic"/>
    <x v="0"/>
  </r>
  <r>
    <x v="111"/>
    <d v="2025-01-30T00:00:00"/>
    <x v="0"/>
    <s v="North"/>
    <s v="Mobile"/>
    <s v="Organic"/>
    <x v="0"/>
  </r>
  <r>
    <x v="112"/>
    <d v="2025-05-19T00:00:00"/>
    <x v="0"/>
    <s v="East"/>
    <s v="Tablet"/>
    <s v="Paid Search"/>
    <x v="1"/>
  </r>
  <r>
    <x v="113"/>
    <d v="2025-01-23T00:00:00"/>
    <x v="0"/>
    <s v="South"/>
    <s v="Mobile"/>
    <s v="Social"/>
    <x v="1"/>
  </r>
  <r>
    <x v="114"/>
    <d v="2025-03-28T00:00:00"/>
    <x v="0"/>
    <s v="East"/>
    <s v="Desktop"/>
    <s v="Social"/>
    <x v="1"/>
  </r>
  <r>
    <x v="115"/>
    <d v="2025-01-11T00:00:00"/>
    <x v="0"/>
    <s v="West"/>
    <s v="Mobile"/>
    <s v="Organic"/>
    <x v="1"/>
  </r>
  <r>
    <x v="116"/>
    <d v="2025-04-11T00:00:00"/>
    <x v="0"/>
    <s v="North"/>
    <s v="Mobile"/>
    <s v="Referral"/>
    <x v="1"/>
  </r>
  <r>
    <x v="117"/>
    <d v="2025-01-02T00:00:00"/>
    <x v="0"/>
    <s v="West"/>
    <s v="Mobile"/>
    <s v="Paid Search"/>
    <x v="1"/>
  </r>
  <r>
    <x v="118"/>
    <d v="2025-03-18T00:00:00"/>
    <x v="0"/>
    <s v="East"/>
    <s v="Mobile"/>
    <s v="Social"/>
    <x v="1"/>
  </r>
  <r>
    <x v="119"/>
    <d v="2025-03-31T00:00:00"/>
    <x v="0"/>
    <s v="North"/>
    <s v="Mobile"/>
    <s v="Email"/>
    <x v="1"/>
  </r>
  <r>
    <x v="120"/>
    <d v="2025-01-06T00:00:00"/>
    <x v="0"/>
    <s v="North"/>
    <s v="Mobile"/>
    <s v="Paid Search"/>
    <x v="0"/>
  </r>
  <r>
    <x v="121"/>
    <d v="2025-01-26T00:00:00"/>
    <x v="0"/>
    <s v="North"/>
    <s v="Mobile"/>
    <s v="Referral"/>
    <x v="1"/>
  </r>
  <r>
    <x v="122"/>
    <d v="2025-04-22T00:00:00"/>
    <x v="0"/>
    <s v="South"/>
    <s v="Mobile"/>
    <s v="Referral"/>
    <x v="0"/>
  </r>
  <r>
    <x v="123"/>
    <d v="2025-05-30T00:00:00"/>
    <x v="0"/>
    <s v="West"/>
    <m/>
    <s v="Email"/>
    <x v="0"/>
  </r>
  <r>
    <x v="124"/>
    <d v="2025-05-18T00:00:00"/>
    <x v="0"/>
    <s v="West"/>
    <s v="Desktop"/>
    <s v="Organic"/>
    <x v="2"/>
  </r>
  <r>
    <x v="125"/>
    <d v="2025-01-13T00:00:00"/>
    <x v="0"/>
    <s v="South"/>
    <s v="Desktop"/>
    <s v="Paid Search"/>
    <x v="2"/>
  </r>
  <r>
    <x v="126"/>
    <d v="2025-03-25T00:00:00"/>
    <x v="0"/>
    <s v="North"/>
    <s v="Desktop"/>
    <s v="Email"/>
    <x v="1"/>
  </r>
  <r>
    <x v="127"/>
    <d v="2025-04-29T00:00:00"/>
    <x v="0"/>
    <s v="South"/>
    <s v="Desktop"/>
    <s v="Organic"/>
    <x v="1"/>
  </r>
  <r>
    <x v="128"/>
    <d v="2025-05-17T00:00:00"/>
    <x v="0"/>
    <s v="East"/>
    <s v="Mobile"/>
    <s v="Referral"/>
    <x v="0"/>
  </r>
  <r>
    <x v="129"/>
    <d v="2025-01-02T00:00:00"/>
    <x v="0"/>
    <s v="North"/>
    <s v="Mobile"/>
    <s v="Paid Search"/>
    <x v="1"/>
  </r>
  <r>
    <x v="130"/>
    <d v="2025-02-03T00:00:00"/>
    <x v="0"/>
    <s v="South"/>
    <s v="Mobile"/>
    <s v="Organic"/>
    <x v="1"/>
  </r>
  <r>
    <x v="131"/>
    <d v="2025-03-04T00:00:00"/>
    <x v="0"/>
    <s v="East"/>
    <s v="Mobile"/>
    <s v="Organic"/>
    <x v="1"/>
  </r>
  <r>
    <x v="132"/>
    <d v="2025-01-26T00:00:00"/>
    <x v="0"/>
    <s v="South"/>
    <s v="Mobile"/>
    <s v="Paid Search"/>
    <x v="0"/>
  </r>
  <r>
    <x v="133"/>
    <d v="2025-05-12T00:00:00"/>
    <x v="0"/>
    <s v="West"/>
    <s v="Mobile"/>
    <s v="Paid Search"/>
    <x v="0"/>
  </r>
  <r>
    <x v="134"/>
    <d v="2025-03-06T00:00:00"/>
    <x v="0"/>
    <s v="North"/>
    <s v="Mobile"/>
    <s v="Organic"/>
    <x v="0"/>
  </r>
  <r>
    <x v="135"/>
    <d v="2025-03-10T00:00:00"/>
    <x v="0"/>
    <s v="South"/>
    <s v="Desktop"/>
    <s v="Email"/>
    <x v="2"/>
  </r>
  <r>
    <x v="136"/>
    <d v="2025-05-06T00:00:00"/>
    <x v="0"/>
    <s v="North"/>
    <s v="Mobile"/>
    <s v="Paid Search"/>
    <x v="1"/>
  </r>
  <r>
    <x v="137"/>
    <d v="2025-02-23T00:00:00"/>
    <x v="0"/>
    <s v="South"/>
    <s v="Desktop"/>
    <s v="Paid Search"/>
    <x v="1"/>
  </r>
  <r>
    <x v="138"/>
    <d v="2025-01-29T00:00:00"/>
    <x v="0"/>
    <s v="West"/>
    <s v="Mobile"/>
    <s v="Social"/>
    <x v="0"/>
  </r>
  <r>
    <x v="139"/>
    <d v="2025-01-31T00:00:00"/>
    <x v="0"/>
    <s v="North"/>
    <s v="Mobile"/>
    <s v="Organic"/>
    <x v="0"/>
  </r>
  <r>
    <x v="140"/>
    <d v="2025-01-19T00:00:00"/>
    <x v="0"/>
    <s v="South"/>
    <s v="Mobile"/>
    <s v="Organic"/>
    <x v="1"/>
  </r>
  <r>
    <x v="141"/>
    <d v="2025-04-03T00:00:00"/>
    <x v="0"/>
    <s v="West"/>
    <s v="Desktop"/>
    <s v="Social"/>
    <x v="1"/>
  </r>
  <r>
    <x v="142"/>
    <d v="2025-04-07T00:00:00"/>
    <x v="0"/>
    <s v="North"/>
    <s v="Mobile"/>
    <s v="Paid Search"/>
    <x v="1"/>
  </r>
  <r>
    <x v="143"/>
    <d v="2025-01-06T00:00:00"/>
    <x v="0"/>
    <s v="East"/>
    <s v="Mobile"/>
    <s v="Paid Search"/>
    <x v="0"/>
  </r>
  <r>
    <x v="144"/>
    <d v="2025-04-11T00:00:00"/>
    <x v="0"/>
    <s v="East"/>
    <s v="Mobile"/>
    <s v="Organic"/>
    <x v="1"/>
  </r>
  <r>
    <x v="145"/>
    <d v="2025-04-23T00:00:00"/>
    <x v="0"/>
    <s v="East"/>
    <s v="Mobile"/>
    <s v="Paid Search"/>
    <x v="1"/>
  </r>
  <r>
    <x v="146"/>
    <d v="2025-03-25T00:00:00"/>
    <x v="0"/>
    <s v="West"/>
    <s v="Mobile"/>
    <s v="Organic"/>
    <x v="0"/>
  </r>
  <r>
    <x v="147"/>
    <d v="2025-05-25T00:00:00"/>
    <x v="0"/>
    <s v="South"/>
    <s v="Desktop"/>
    <s v="Organic"/>
    <x v="0"/>
  </r>
  <r>
    <x v="148"/>
    <d v="2025-01-28T00:00:00"/>
    <x v="0"/>
    <s v="North"/>
    <s v="Mobile"/>
    <s v="Organic"/>
    <x v="1"/>
  </r>
  <r>
    <x v="149"/>
    <d v="2025-02-12T00:00:00"/>
    <x v="0"/>
    <s v="West"/>
    <s v="Mobile"/>
    <s v="Paid Search"/>
    <x v="2"/>
  </r>
  <r>
    <x v="150"/>
    <d v="2025-04-29T00:00:00"/>
    <x v="0"/>
    <s v="North"/>
    <s v="Mobile"/>
    <s v="Social"/>
    <x v="2"/>
  </r>
  <r>
    <x v="151"/>
    <d v="2025-03-13T00:00:00"/>
    <x v="0"/>
    <s v="South"/>
    <s v="Mobile"/>
    <s v="Email"/>
    <x v="1"/>
  </r>
  <r>
    <x v="152"/>
    <d v="2025-02-04T00:00:00"/>
    <x v="0"/>
    <s v="East"/>
    <s v="Desktop"/>
    <s v="Paid Search"/>
    <x v="1"/>
  </r>
  <r>
    <x v="153"/>
    <d v="2025-03-04T00:00:00"/>
    <x v="0"/>
    <s v="South"/>
    <s v="Mobile"/>
    <s v="Referral"/>
    <x v="1"/>
  </r>
  <r>
    <x v="154"/>
    <d v="2025-02-04T00:00:00"/>
    <x v="0"/>
    <s v="West"/>
    <s v="Mobile"/>
    <s v="Paid Search"/>
    <x v="0"/>
  </r>
  <r>
    <x v="155"/>
    <d v="2025-03-11T00:00:00"/>
    <x v="0"/>
    <s v="North"/>
    <s v="Desktop"/>
    <s v="Organic"/>
    <x v="1"/>
  </r>
  <r>
    <x v="156"/>
    <d v="2025-04-22T00:00:00"/>
    <x v="0"/>
    <s v="West"/>
    <s v="Mobile"/>
    <s v="Organic"/>
    <x v="1"/>
  </r>
  <r>
    <x v="157"/>
    <d v="2025-03-08T00:00:00"/>
    <x v="0"/>
    <s v="North"/>
    <s v="Desktop"/>
    <s v="Paid Search"/>
    <x v="1"/>
  </r>
  <r>
    <x v="158"/>
    <d v="2025-03-10T00:00:00"/>
    <x v="0"/>
    <s v="East"/>
    <s v="Mobile"/>
    <s v="Organic"/>
    <x v="1"/>
  </r>
  <r>
    <x v="159"/>
    <d v="2025-05-18T00:00:00"/>
    <x v="0"/>
    <s v="North"/>
    <s v="Desktop"/>
    <s v="Paid Search"/>
    <x v="0"/>
  </r>
  <r>
    <x v="160"/>
    <d v="2025-05-14T00:00:00"/>
    <x v="0"/>
    <s v="North"/>
    <s v="Mobile"/>
    <s v="Social"/>
    <x v="0"/>
  </r>
  <r>
    <x v="161"/>
    <d v="2025-02-01T00:00:00"/>
    <x v="0"/>
    <s v="North"/>
    <s v="Mobile"/>
    <s v="Organic"/>
    <x v="1"/>
  </r>
  <r>
    <x v="162"/>
    <d v="2025-04-11T00:00:00"/>
    <x v="0"/>
    <s v="South"/>
    <s v="Mobile"/>
    <s v="Organic"/>
    <x v="0"/>
  </r>
  <r>
    <x v="163"/>
    <d v="2025-02-14T00:00:00"/>
    <x v="0"/>
    <s v="East"/>
    <s v="Mobile"/>
    <s v="Organic"/>
    <x v="1"/>
  </r>
  <r>
    <x v="164"/>
    <d v="2025-05-19T00:00:00"/>
    <x v="0"/>
    <s v="East"/>
    <s v="Mobile"/>
    <s v="Social"/>
    <x v="1"/>
  </r>
  <r>
    <x v="165"/>
    <d v="2025-04-26T00:00:00"/>
    <x v="0"/>
    <s v="North"/>
    <s v="Desktop"/>
    <s v="Paid Search"/>
    <x v="0"/>
  </r>
  <r>
    <x v="166"/>
    <d v="2025-04-06T00:00:00"/>
    <x v="0"/>
    <s v="South"/>
    <s v="Mobile"/>
    <s v="Social"/>
    <x v="1"/>
  </r>
  <r>
    <x v="167"/>
    <d v="2025-03-06T00:00:00"/>
    <x v="0"/>
    <s v="South"/>
    <s v="Mobile"/>
    <s v="Paid Search"/>
    <x v="1"/>
  </r>
  <r>
    <x v="168"/>
    <d v="2025-03-10T00:00:00"/>
    <x v="0"/>
    <s v="West"/>
    <s v="Mobile"/>
    <s v="Social"/>
    <x v="0"/>
  </r>
  <r>
    <x v="169"/>
    <d v="2025-03-30T00:00:00"/>
    <x v="0"/>
    <s v="North"/>
    <s v="Mobile"/>
    <s v="Organic"/>
    <x v="1"/>
  </r>
  <r>
    <x v="170"/>
    <d v="2025-05-29T00:00:00"/>
    <x v="0"/>
    <s v="East"/>
    <m/>
    <s v="Paid Search"/>
    <x v="1"/>
  </r>
  <r>
    <x v="171"/>
    <d v="2025-03-23T00:00:00"/>
    <x v="0"/>
    <s v="North"/>
    <s v="Mobile"/>
    <s v="Organic"/>
    <x v="1"/>
  </r>
  <r>
    <x v="172"/>
    <d v="2025-02-18T00:00:00"/>
    <x v="0"/>
    <s v="North"/>
    <s v="Tablet"/>
    <s v="Organic"/>
    <x v="0"/>
  </r>
  <r>
    <x v="173"/>
    <d v="2025-01-26T00:00:00"/>
    <x v="0"/>
    <s v="North"/>
    <s v="Desktop"/>
    <s v="Email"/>
    <x v="1"/>
  </r>
  <r>
    <x v="174"/>
    <d v="2025-04-23T00:00:00"/>
    <x v="0"/>
    <s v="East"/>
    <s v="Mobile"/>
    <s v="Social"/>
    <x v="0"/>
  </r>
  <r>
    <x v="175"/>
    <d v="2025-03-16T00:00:00"/>
    <x v="0"/>
    <s v="South"/>
    <s v="Tablet"/>
    <s v="Referral"/>
    <x v="0"/>
  </r>
  <r>
    <x v="176"/>
    <d v="2025-04-29T00:00:00"/>
    <x v="0"/>
    <s v="West"/>
    <s v="Mobile"/>
    <s v="Organic"/>
    <x v="0"/>
  </r>
  <r>
    <x v="177"/>
    <d v="2025-04-06T00:00:00"/>
    <x v="0"/>
    <s v="North"/>
    <s v="Mobile"/>
    <s v="Organic"/>
    <x v="1"/>
  </r>
  <r>
    <x v="178"/>
    <d v="2025-04-17T00:00:00"/>
    <x v="0"/>
    <s v="North"/>
    <s v="Desktop"/>
    <s v="Referral"/>
    <x v="2"/>
  </r>
  <r>
    <x v="179"/>
    <d v="2025-04-03T00:00:00"/>
    <x v="0"/>
    <s v="South"/>
    <s v="Mobile"/>
    <s v="Paid Search"/>
    <x v="1"/>
  </r>
  <r>
    <x v="180"/>
    <d v="2025-04-25T00:00:00"/>
    <x v="0"/>
    <s v="West"/>
    <s v="Mobile"/>
    <s v="Paid Search"/>
    <x v="1"/>
  </r>
  <r>
    <x v="181"/>
    <d v="2025-04-30T00:00:00"/>
    <x v="0"/>
    <s v="South"/>
    <s v="Mobile"/>
    <s v="Organic"/>
    <x v="2"/>
  </r>
  <r>
    <x v="182"/>
    <d v="2025-03-12T00:00:00"/>
    <x v="0"/>
    <s v="South"/>
    <s v="Mobile"/>
    <s v="Paid Search"/>
    <x v="1"/>
  </r>
  <r>
    <x v="183"/>
    <d v="2025-05-04T00:00:00"/>
    <x v="0"/>
    <s v="South"/>
    <s v="Mobile"/>
    <s v="Organic"/>
    <x v="1"/>
  </r>
  <r>
    <x v="184"/>
    <d v="2025-02-07T00:00:00"/>
    <x v="0"/>
    <s v="South"/>
    <s v="Tablet"/>
    <s v="Paid Search"/>
    <x v="2"/>
  </r>
  <r>
    <x v="185"/>
    <d v="2025-04-28T00:00:00"/>
    <x v="0"/>
    <s v="East"/>
    <s v="Tablet"/>
    <s v="Email"/>
    <x v="0"/>
  </r>
  <r>
    <x v="186"/>
    <d v="2025-05-15T00:00:00"/>
    <x v="0"/>
    <s v="East"/>
    <s v="Desktop"/>
    <s v="Referral"/>
    <x v="1"/>
  </r>
  <r>
    <x v="187"/>
    <d v="2025-01-18T00:00:00"/>
    <x v="0"/>
    <s v="West"/>
    <s v="Mobile"/>
    <s v="Paid Search"/>
    <x v="0"/>
  </r>
  <r>
    <x v="188"/>
    <d v="2025-02-15T00:00:00"/>
    <x v="0"/>
    <s v="South"/>
    <s v="Mobile"/>
    <s v="Social"/>
    <x v="0"/>
  </r>
  <r>
    <x v="189"/>
    <d v="2025-02-18T00:00:00"/>
    <x v="0"/>
    <s v="North"/>
    <s v="Tablet"/>
    <s v="Email"/>
    <x v="1"/>
  </r>
  <r>
    <x v="190"/>
    <d v="2025-01-30T00:00:00"/>
    <x v="0"/>
    <s v="South"/>
    <s v="Desktop"/>
    <s v="Email"/>
    <x v="0"/>
  </r>
  <r>
    <x v="191"/>
    <d v="2025-02-09T00:00:00"/>
    <x v="0"/>
    <s v="South"/>
    <s v="Desktop"/>
    <s v="Organic"/>
    <x v="0"/>
  </r>
  <r>
    <x v="192"/>
    <d v="2025-03-16T00:00:00"/>
    <x v="0"/>
    <s v="West"/>
    <s v="Mobile"/>
    <s v="Paid Search"/>
    <x v="0"/>
  </r>
  <r>
    <x v="193"/>
    <d v="2025-05-19T00:00:00"/>
    <x v="0"/>
    <s v="North"/>
    <s v="Mobile"/>
    <s v="Paid Search"/>
    <x v="1"/>
  </r>
  <r>
    <x v="194"/>
    <d v="2025-05-16T00:00:00"/>
    <x v="0"/>
    <s v="South"/>
    <s v="Desktop"/>
    <s v="Organic"/>
    <x v="0"/>
  </r>
  <r>
    <x v="195"/>
    <d v="2025-04-25T00:00:00"/>
    <x v="0"/>
    <s v="West"/>
    <s v="Desktop"/>
    <s v="Referral"/>
    <x v="0"/>
  </r>
  <r>
    <x v="196"/>
    <d v="2025-02-27T00:00:00"/>
    <x v="0"/>
    <s v="North"/>
    <s v="Mobile"/>
    <s v="Social"/>
    <x v="0"/>
  </r>
  <r>
    <x v="197"/>
    <d v="2025-04-26T00:00:00"/>
    <x v="0"/>
    <s v="South"/>
    <s v="Mobile"/>
    <s v="Paid Search"/>
    <x v="0"/>
  </r>
  <r>
    <x v="198"/>
    <d v="2025-05-14T00:00:00"/>
    <x v="0"/>
    <s v="North"/>
    <s v="Mobile"/>
    <s v="Organic"/>
    <x v="0"/>
  </r>
  <r>
    <x v="199"/>
    <d v="2025-03-05T00:00:00"/>
    <x v="0"/>
    <s v="North"/>
    <s v="Mobile"/>
    <s v="Organic"/>
    <x v="2"/>
  </r>
  <r>
    <x v="200"/>
    <d v="2025-04-02T00:00:00"/>
    <x v="0"/>
    <s v="West"/>
    <s v="Desktop"/>
    <s v="Organic"/>
    <x v="1"/>
  </r>
  <r>
    <x v="201"/>
    <d v="2025-05-14T00:00:00"/>
    <x v="0"/>
    <s v="South"/>
    <s v="Tablet"/>
    <s v="Organic"/>
    <x v="1"/>
  </r>
  <r>
    <x v="202"/>
    <d v="2025-05-21T00:00:00"/>
    <x v="0"/>
    <s v="North"/>
    <s v="Mobile"/>
    <s v="Paid Search"/>
    <x v="1"/>
  </r>
  <r>
    <x v="203"/>
    <d v="2025-01-27T00:00:00"/>
    <x v="0"/>
    <s v="East"/>
    <s v="Mobile"/>
    <s v="Social"/>
    <x v="0"/>
  </r>
  <r>
    <x v="204"/>
    <d v="2025-05-22T00:00:00"/>
    <x v="0"/>
    <s v="West"/>
    <s v="Desktop"/>
    <s v="Organic"/>
    <x v="1"/>
  </r>
  <r>
    <x v="205"/>
    <d v="2025-05-19T00:00:00"/>
    <x v="0"/>
    <s v="South"/>
    <s v="Mobile"/>
    <s v="Paid Search"/>
    <x v="1"/>
  </r>
  <r>
    <x v="206"/>
    <d v="2025-01-14T00:00:00"/>
    <x v="0"/>
    <s v="South"/>
    <s v="Desktop"/>
    <s v="Paid Search"/>
    <x v="1"/>
  </r>
  <r>
    <x v="207"/>
    <d v="2025-01-21T00:00:00"/>
    <x v="0"/>
    <s v="North"/>
    <s v="Desktop"/>
    <s v="Referral"/>
    <x v="2"/>
  </r>
  <r>
    <x v="208"/>
    <d v="2025-05-16T00:00:00"/>
    <x v="0"/>
    <s v="East"/>
    <s v="Mobile"/>
    <s v="Organic"/>
    <x v="1"/>
  </r>
  <r>
    <x v="209"/>
    <d v="2025-02-02T00:00:00"/>
    <x v="0"/>
    <s v="North"/>
    <s v="Mobile"/>
    <s v="Email"/>
    <x v="1"/>
  </r>
  <r>
    <x v="210"/>
    <d v="2025-03-23T00:00:00"/>
    <x v="0"/>
    <s v="East"/>
    <m/>
    <s v="Referral"/>
    <x v="1"/>
  </r>
  <r>
    <x v="211"/>
    <d v="2025-01-24T00:00:00"/>
    <x v="0"/>
    <s v="East"/>
    <s v="Mobile"/>
    <s v="Organic"/>
    <x v="1"/>
  </r>
  <r>
    <x v="212"/>
    <d v="2025-04-12T00:00:00"/>
    <x v="0"/>
    <s v="North"/>
    <s v="Desktop"/>
    <s v="Organic"/>
    <x v="1"/>
  </r>
  <r>
    <x v="213"/>
    <d v="2025-02-18T00:00:00"/>
    <x v="0"/>
    <s v="East"/>
    <s v="Desktop"/>
    <s v="Paid Search"/>
    <x v="1"/>
  </r>
  <r>
    <x v="214"/>
    <d v="2025-05-28T00:00:00"/>
    <x v="0"/>
    <s v="South"/>
    <s v="Mobile"/>
    <s v="Email"/>
    <x v="0"/>
  </r>
  <r>
    <x v="215"/>
    <d v="2025-04-18T00:00:00"/>
    <x v="0"/>
    <s v="South"/>
    <s v="Mobile"/>
    <s v="Social"/>
    <x v="0"/>
  </r>
  <r>
    <x v="216"/>
    <d v="2025-03-27T00:00:00"/>
    <x v="0"/>
    <s v="North"/>
    <s v="Mobile"/>
    <s v="Paid Search"/>
    <x v="0"/>
  </r>
  <r>
    <x v="217"/>
    <d v="2025-02-25T00:00:00"/>
    <x v="0"/>
    <s v="North"/>
    <s v="Tablet"/>
    <s v="Social"/>
    <x v="1"/>
  </r>
  <r>
    <x v="218"/>
    <d v="2025-02-19T00:00:00"/>
    <x v="0"/>
    <s v="East"/>
    <s v="Mobile"/>
    <s v="Paid Search"/>
    <x v="1"/>
  </r>
  <r>
    <x v="219"/>
    <d v="2025-04-11T00:00:00"/>
    <x v="0"/>
    <s v="West"/>
    <s v="Mobile"/>
    <s v="Paid Search"/>
    <x v="1"/>
  </r>
  <r>
    <x v="220"/>
    <d v="2025-01-22T00:00:00"/>
    <x v="0"/>
    <s v="East"/>
    <s v="Tablet"/>
    <s v="Referral"/>
    <x v="2"/>
  </r>
  <r>
    <x v="221"/>
    <d v="2025-01-12T00:00:00"/>
    <x v="0"/>
    <s v="South"/>
    <s v="Mobile"/>
    <s v="Social"/>
    <x v="1"/>
  </r>
  <r>
    <x v="222"/>
    <d v="2025-02-17T00:00:00"/>
    <x v="0"/>
    <s v="West"/>
    <s v="Mobile"/>
    <s v="Email"/>
    <x v="1"/>
  </r>
  <r>
    <x v="223"/>
    <d v="2025-04-11T00:00:00"/>
    <x v="0"/>
    <s v="West"/>
    <s v="Desktop"/>
    <s v="Organic"/>
    <x v="1"/>
  </r>
  <r>
    <x v="224"/>
    <d v="2025-05-25T00:00:00"/>
    <x v="0"/>
    <s v="South"/>
    <s v="Mobile"/>
    <s v="Referral"/>
    <x v="2"/>
  </r>
  <r>
    <x v="225"/>
    <d v="2025-03-12T00:00:00"/>
    <x v="0"/>
    <s v="South"/>
    <s v="Mobile"/>
    <s v="Organic"/>
    <x v="0"/>
  </r>
  <r>
    <x v="226"/>
    <d v="2025-04-20T00:00:00"/>
    <x v="0"/>
    <s v="North"/>
    <s v="Tablet"/>
    <s v="Email"/>
    <x v="1"/>
  </r>
  <r>
    <x v="227"/>
    <d v="2025-02-23T00:00:00"/>
    <x v="0"/>
    <s v="North"/>
    <s v="Tablet"/>
    <s v="Organic"/>
    <x v="1"/>
  </r>
  <r>
    <x v="228"/>
    <d v="2025-01-24T00:00:00"/>
    <x v="0"/>
    <s v="North"/>
    <s v="Mobile"/>
    <s v="Organic"/>
    <x v="0"/>
  </r>
  <r>
    <x v="229"/>
    <d v="2025-01-16T00:00:00"/>
    <x v="0"/>
    <s v="West"/>
    <s v="Mobile"/>
    <s v="Organic"/>
    <x v="2"/>
  </r>
  <r>
    <x v="230"/>
    <d v="2025-02-17T00:00:00"/>
    <x v="0"/>
    <s v="North"/>
    <s v="Mobile"/>
    <s v="Social"/>
    <x v="1"/>
  </r>
  <r>
    <x v="231"/>
    <d v="2025-05-04T00:00:00"/>
    <x v="0"/>
    <s v="North"/>
    <s v="Desktop"/>
    <s v="Organic"/>
    <x v="0"/>
  </r>
  <r>
    <x v="232"/>
    <d v="2025-01-12T00:00:00"/>
    <x v="0"/>
    <s v="West"/>
    <s v="Mobile"/>
    <s v="Organic"/>
    <x v="0"/>
  </r>
  <r>
    <x v="233"/>
    <d v="2025-04-28T00:00:00"/>
    <x v="0"/>
    <s v="North"/>
    <s v="Tablet"/>
    <s v="Organic"/>
    <x v="1"/>
  </r>
  <r>
    <x v="234"/>
    <d v="2025-02-26T00:00:00"/>
    <x v="0"/>
    <s v="North"/>
    <s v="Mobile"/>
    <s v="Organic"/>
    <x v="1"/>
  </r>
  <r>
    <x v="235"/>
    <d v="2025-03-18T00:00:00"/>
    <x v="0"/>
    <s v="West"/>
    <s v="Mobile"/>
    <s v="Social"/>
    <x v="1"/>
  </r>
  <r>
    <x v="236"/>
    <d v="2025-03-01T00:00:00"/>
    <x v="0"/>
    <s v="South"/>
    <s v="Desktop"/>
    <s v="Organic"/>
    <x v="2"/>
  </r>
  <r>
    <x v="237"/>
    <d v="2025-04-05T00:00:00"/>
    <x v="0"/>
    <s v="North"/>
    <s v="Desktop"/>
    <s v="Social"/>
    <x v="2"/>
  </r>
  <r>
    <x v="238"/>
    <d v="2025-03-12T00:00:00"/>
    <x v="0"/>
    <s v="North"/>
    <s v="Desktop"/>
    <s v="Social"/>
    <x v="1"/>
  </r>
  <r>
    <x v="239"/>
    <d v="2025-03-15T00:00:00"/>
    <x v="0"/>
    <s v="West"/>
    <s v="Mobile"/>
    <s v="Referral"/>
    <x v="0"/>
  </r>
  <r>
    <x v="240"/>
    <d v="2025-02-23T00:00:00"/>
    <x v="0"/>
    <s v="West"/>
    <s v="Mobile"/>
    <s v="Email"/>
    <x v="1"/>
  </r>
  <r>
    <x v="241"/>
    <d v="2025-04-22T00:00:00"/>
    <x v="0"/>
    <s v="North"/>
    <s v="Mobile"/>
    <s v="Organic"/>
    <x v="0"/>
  </r>
  <r>
    <x v="242"/>
    <d v="2025-01-09T00:00:00"/>
    <x v="0"/>
    <s v="East"/>
    <s v="Mobile"/>
    <s v="Organic"/>
    <x v="0"/>
  </r>
  <r>
    <x v="243"/>
    <d v="2025-03-05T00:00:00"/>
    <x v="0"/>
    <s v="East"/>
    <s v="Tablet"/>
    <s v="Social"/>
    <x v="2"/>
  </r>
  <r>
    <x v="244"/>
    <d v="2025-01-28T00:00:00"/>
    <x v="0"/>
    <s v="North"/>
    <s v="Mobile"/>
    <s v="Social"/>
    <x v="1"/>
  </r>
  <r>
    <x v="245"/>
    <d v="2025-01-21T00:00:00"/>
    <x v="0"/>
    <s v="West"/>
    <s v="Mobile"/>
    <s v="Paid Search"/>
    <x v="2"/>
  </r>
  <r>
    <x v="246"/>
    <d v="2025-03-14T00:00:00"/>
    <x v="0"/>
    <s v="South"/>
    <s v="Mobile"/>
    <s v="Referral"/>
    <x v="0"/>
  </r>
  <r>
    <x v="247"/>
    <d v="2025-02-03T00:00:00"/>
    <x v="0"/>
    <s v="West"/>
    <s v="Mobile"/>
    <s v="Paid Search"/>
    <x v="1"/>
  </r>
  <r>
    <x v="248"/>
    <d v="2025-05-22T00:00:00"/>
    <x v="0"/>
    <s v="North"/>
    <s v="Mobile"/>
    <s v="Social"/>
    <x v="1"/>
  </r>
  <r>
    <x v="249"/>
    <d v="2025-04-25T00:00:00"/>
    <x v="0"/>
    <s v="North"/>
    <s v="Desktop"/>
    <s v="Email"/>
    <x v="1"/>
  </r>
  <r>
    <x v="250"/>
    <d v="2025-01-30T00:00:00"/>
    <x v="0"/>
    <s v="North"/>
    <s v="Desktop"/>
    <s v="Email"/>
    <x v="0"/>
  </r>
  <r>
    <x v="251"/>
    <d v="2025-05-23T00:00:00"/>
    <x v="0"/>
    <s v="West"/>
    <s v="Mobile"/>
    <s v="Organic"/>
    <x v="1"/>
  </r>
  <r>
    <x v="252"/>
    <d v="2025-02-14T00:00:00"/>
    <x v="0"/>
    <s v="East"/>
    <s v="Desktop"/>
    <s v="Organic"/>
    <x v="1"/>
  </r>
  <r>
    <x v="253"/>
    <d v="2025-03-05T00:00:00"/>
    <x v="0"/>
    <s v="North"/>
    <s v="Mobile"/>
    <s v="Paid Search"/>
    <x v="2"/>
  </r>
  <r>
    <x v="254"/>
    <d v="2025-05-27T00:00:00"/>
    <x v="0"/>
    <s v="North"/>
    <s v="Mobile"/>
    <s v="Paid Search"/>
    <x v="0"/>
  </r>
  <r>
    <x v="255"/>
    <d v="2025-01-07T00:00:00"/>
    <x v="0"/>
    <s v="South"/>
    <s v="Mobile"/>
    <s v="Paid Search"/>
    <x v="1"/>
  </r>
  <r>
    <x v="256"/>
    <d v="2025-04-21T00:00:00"/>
    <x v="0"/>
    <s v="North"/>
    <s v="Mobile"/>
    <s v="Email"/>
    <x v="1"/>
  </r>
  <r>
    <x v="257"/>
    <d v="2025-05-13T00:00:00"/>
    <x v="0"/>
    <s v="North"/>
    <s v="Mobile"/>
    <s v="Paid Search"/>
    <x v="1"/>
  </r>
  <r>
    <x v="258"/>
    <d v="2025-01-28T00:00:00"/>
    <x v="0"/>
    <s v="East"/>
    <s v="Desktop"/>
    <s v="Organic"/>
    <x v="1"/>
  </r>
  <r>
    <x v="259"/>
    <d v="2025-03-16T00:00:00"/>
    <x v="0"/>
    <s v="East"/>
    <s v="Desktop"/>
    <s v="Paid Search"/>
    <x v="0"/>
  </r>
  <r>
    <x v="260"/>
    <d v="2025-04-10T00:00:00"/>
    <x v="0"/>
    <s v="East"/>
    <s v="Desktop"/>
    <s v="Social"/>
    <x v="0"/>
  </r>
  <r>
    <x v="261"/>
    <d v="2025-03-15T00:00:00"/>
    <x v="0"/>
    <s v="East"/>
    <s v="Desktop"/>
    <s v="Referral"/>
    <x v="1"/>
  </r>
  <r>
    <x v="262"/>
    <d v="2025-04-07T00:00:00"/>
    <x v="0"/>
    <s v="West"/>
    <s v="Desktop"/>
    <s v="Organic"/>
    <x v="0"/>
  </r>
  <r>
    <x v="263"/>
    <d v="2025-02-12T00:00:00"/>
    <x v="0"/>
    <s v="South"/>
    <s v="Mobile"/>
    <s v="Organic"/>
    <x v="1"/>
  </r>
  <r>
    <x v="264"/>
    <d v="2025-05-05T00:00:00"/>
    <x v="0"/>
    <s v="West"/>
    <s v="Mobile"/>
    <s v="Social"/>
    <x v="1"/>
  </r>
  <r>
    <x v="265"/>
    <d v="2025-03-11T00:00:00"/>
    <x v="0"/>
    <s v="West"/>
    <s v="Mobile"/>
    <s v="Referral"/>
    <x v="1"/>
  </r>
  <r>
    <x v="266"/>
    <d v="2025-02-10T00:00:00"/>
    <x v="0"/>
    <s v="East"/>
    <s v="Mobile"/>
    <s v="Social"/>
    <x v="1"/>
  </r>
  <r>
    <x v="267"/>
    <d v="2025-04-06T00:00:00"/>
    <x v="0"/>
    <s v="South"/>
    <s v="Mobile"/>
    <s v="Organic"/>
    <x v="1"/>
  </r>
  <r>
    <x v="268"/>
    <d v="2025-01-06T00:00:00"/>
    <x v="0"/>
    <s v="East"/>
    <s v="Mobile"/>
    <s v="Referral"/>
    <x v="1"/>
  </r>
  <r>
    <x v="269"/>
    <d v="2025-03-25T00:00:00"/>
    <x v="0"/>
    <s v="East"/>
    <s v="Tablet"/>
    <s v="Paid Search"/>
    <x v="0"/>
  </r>
  <r>
    <x v="270"/>
    <d v="2025-02-13T00:00:00"/>
    <x v="0"/>
    <s v="East"/>
    <s v="Desktop"/>
    <s v="Referral"/>
    <x v="1"/>
  </r>
  <r>
    <x v="271"/>
    <d v="2025-03-17T00:00:00"/>
    <x v="0"/>
    <s v="West"/>
    <s v="Desktop"/>
    <s v="Organic"/>
    <x v="1"/>
  </r>
  <r>
    <x v="272"/>
    <d v="2025-05-10T00:00:00"/>
    <x v="0"/>
    <s v="North"/>
    <s v="Mobile"/>
    <s v="Referral"/>
    <x v="1"/>
  </r>
  <r>
    <x v="273"/>
    <d v="2025-05-07T00:00:00"/>
    <x v="0"/>
    <s v="South"/>
    <s v="Mobile"/>
    <s v="Paid Search"/>
    <x v="0"/>
  </r>
  <r>
    <x v="274"/>
    <d v="2025-02-26T00:00:00"/>
    <x v="0"/>
    <s v="West"/>
    <s v="Desktop"/>
    <s v="Paid Search"/>
    <x v="2"/>
  </r>
  <r>
    <x v="275"/>
    <d v="2025-05-11T00:00:00"/>
    <x v="0"/>
    <s v="North"/>
    <s v="Mobile"/>
    <s v="Organic"/>
    <x v="0"/>
  </r>
  <r>
    <x v="276"/>
    <d v="2025-03-20T00:00:00"/>
    <x v="0"/>
    <s v="South"/>
    <s v="Mobile"/>
    <s v="Organic"/>
    <x v="0"/>
  </r>
  <r>
    <x v="277"/>
    <d v="2025-01-19T00:00:00"/>
    <x v="0"/>
    <s v="North"/>
    <s v="Mobile"/>
    <s v="Email"/>
    <x v="1"/>
  </r>
  <r>
    <x v="278"/>
    <d v="2025-03-08T00:00:00"/>
    <x v="0"/>
    <s v="North"/>
    <s v="Tablet"/>
    <s v="Paid Search"/>
    <x v="2"/>
  </r>
  <r>
    <x v="279"/>
    <d v="2025-04-25T00:00:00"/>
    <x v="0"/>
    <s v="North"/>
    <s v="Mobile"/>
    <s v="Organic"/>
    <x v="1"/>
  </r>
  <r>
    <x v="280"/>
    <d v="2025-04-04T00:00:00"/>
    <x v="0"/>
    <s v="North"/>
    <s v="Desktop"/>
    <s v="Organic"/>
    <x v="1"/>
  </r>
  <r>
    <x v="281"/>
    <d v="2025-05-01T00:00:00"/>
    <x v="0"/>
    <s v="East"/>
    <s v="Mobile"/>
    <s v="Paid Search"/>
    <x v="2"/>
  </r>
  <r>
    <x v="282"/>
    <d v="2025-01-21T00:00:00"/>
    <x v="0"/>
    <s v="South"/>
    <s v="Mobile"/>
    <s v="Social"/>
    <x v="1"/>
  </r>
  <r>
    <x v="283"/>
    <d v="2025-02-10T00:00:00"/>
    <x v="0"/>
    <s v="North"/>
    <s v="Desktop"/>
    <s v="Referral"/>
    <x v="0"/>
  </r>
  <r>
    <x v="284"/>
    <d v="2025-05-06T00:00:00"/>
    <x v="0"/>
    <s v="South"/>
    <s v="Desktop"/>
    <s v="Organic"/>
    <x v="1"/>
  </r>
  <r>
    <x v="285"/>
    <d v="2025-02-08T00:00:00"/>
    <x v="0"/>
    <s v="North"/>
    <s v="Desktop"/>
    <s v="Paid Search"/>
    <x v="0"/>
  </r>
  <r>
    <x v="286"/>
    <d v="2025-05-31T00:00:00"/>
    <x v="0"/>
    <s v="East"/>
    <s v="Mobile"/>
    <s v="Social"/>
    <x v="1"/>
  </r>
  <r>
    <x v="287"/>
    <d v="2025-02-07T00:00:00"/>
    <x v="0"/>
    <s v="West"/>
    <s v="Mobile"/>
    <s v="Email"/>
    <x v="0"/>
  </r>
  <r>
    <x v="288"/>
    <d v="2025-02-10T00:00:00"/>
    <x v="0"/>
    <s v="North"/>
    <s v="Mobile"/>
    <s v="Social"/>
    <x v="1"/>
  </r>
  <r>
    <x v="289"/>
    <d v="2025-01-31T00:00:00"/>
    <x v="0"/>
    <s v="West"/>
    <s v="Mobile"/>
    <s v="Social"/>
    <x v="0"/>
  </r>
  <r>
    <x v="290"/>
    <d v="2025-03-16T00:00:00"/>
    <x v="0"/>
    <s v="East"/>
    <s v="Mobile"/>
    <s v="Paid Search"/>
    <x v="0"/>
  </r>
  <r>
    <x v="291"/>
    <d v="2025-04-24T00:00:00"/>
    <x v="0"/>
    <s v="South"/>
    <s v="Mobile"/>
    <s v="Social"/>
    <x v="0"/>
  </r>
  <r>
    <x v="292"/>
    <d v="2025-01-28T00:00:00"/>
    <x v="0"/>
    <s v="North"/>
    <s v="Mobile"/>
    <s v="Organic"/>
    <x v="1"/>
  </r>
  <r>
    <x v="293"/>
    <d v="2025-02-16T00:00:00"/>
    <x v="0"/>
    <s v="West"/>
    <s v="Desktop"/>
    <s v="Email"/>
    <x v="1"/>
  </r>
  <r>
    <x v="294"/>
    <d v="2025-03-23T00:00:00"/>
    <x v="0"/>
    <s v="East"/>
    <s v="Mobile"/>
    <s v="Organic"/>
    <x v="2"/>
  </r>
  <r>
    <x v="295"/>
    <d v="2025-05-31T00:00:00"/>
    <x v="0"/>
    <s v="East"/>
    <s v="Mobile"/>
    <s v="Paid Search"/>
    <x v="2"/>
  </r>
  <r>
    <x v="296"/>
    <d v="2025-04-13T00:00:00"/>
    <x v="0"/>
    <s v="West"/>
    <s v="Mobile"/>
    <s v="Social"/>
    <x v="0"/>
  </r>
  <r>
    <x v="297"/>
    <d v="2025-05-14T00:00:00"/>
    <x v="0"/>
    <s v="North"/>
    <s v="Tablet"/>
    <s v="Email"/>
    <x v="0"/>
  </r>
  <r>
    <x v="298"/>
    <d v="2025-02-19T00:00:00"/>
    <x v="0"/>
    <s v="East"/>
    <s v="Mobile"/>
    <s v="Paid Search"/>
    <x v="1"/>
  </r>
  <r>
    <x v="299"/>
    <d v="2025-01-24T00:00:00"/>
    <x v="0"/>
    <s v="South"/>
    <s v="Mobile"/>
    <m/>
    <x v="0"/>
  </r>
  <r>
    <x v="300"/>
    <d v="2025-05-09T00:00:00"/>
    <x v="0"/>
    <s v="North"/>
    <s v="Mobile"/>
    <s v="Email"/>
    <x v="0"/>
  </r>
  <r>
    <x v="301"/>
    <d v="2025-02-11T00:00:00"/>
    <x v="0"/>
    <s v="North"/>
    <s v="Mobile"/>
    <s v="Organic"/>
    <x v="0"/>
  </r>
  <r>
    <x v="302"/>
    <d v="2025-02-26T00:00:00"/>
    <x v="0"/>
    <s v="North"/>
    <s v="Desktop"/>
    <s v="Organic"/>
    <x v="0"/>
  </r>
  <r>
    <x v="303"/>
    <d v="2025-02-12T00:00:00"/>
    <x v="0"/>
    <s v="South"/>
    <s v="Mobile"/>
    <s v="Social"/>
    <x v="2"/>
  </r>
  <r>
    <x v="304"/>
    <d v="2025-01-05T00:00:00"/>
    <x v="0"/>
    <s v="South"/>
    <s v="Tablet"/>
    <s v="Social"/>
    <x v="2"/>
  </r>
  <r>
    <x v="305"/>
    <d v="2025-05-19T00:00:00"/>
    <x v="0"/>
    <s v="West"/>
    <s v="Mobile"/>
    <s v="Organic"/>
    <x v="2"/>
  </r>
  <r>
    <x v="306"/>
    <d v="2025-02-02T00:00:00"/>
    <x v="0"/>
    <s v="North"/>
    <s v="Mobile"/>
    <s v="Social"/>
    <x v="1"/>
  </r>
  <r>
    <x v="307"/>
    <d v="2025-01-30T00:00:00"/>
    <x v="0"/>
    <s v="West"/>
    <s v="Tablet"/>
    <s v="Paid Search"/>
    <x v="1"/>
  </r>
  <r>
    <x v="308"/>
    <d v="2025-05-01T00:00:00"/>
    <x v="0"/>
    <s v="South"/>
    <s v="Desktop"/>
    <s v="Email"/>
    <x v="1"/>
  </r>
  <r>
    <x v="309"/>
    <d v="2025-05-16T00:00:00"/>
    <x v="0"/>
    <s v="South"/>
    <s v="Desktop"/>
    <s v="Referral"/>
    <x v="0"/>
  </r>
  <r>
    <x v="310"/>
    <d v="2025-03-08T00:00:00"/>
    <x v="0"/>
    <s v="West"/>
    <s v="Mobile"/>
    <s v="Organic"/>
    <x v="1"/>
  </r>
  <r>
    <x v="311"/>
    <d v="2025-04-04T00:00:00"/>
    <x v="0"/>
    <s v="North"/>
    <s v="Mobile"/>
    <s v="Organic"/>
    <x v="0"/>
  </r>
  <r>
    <x v="312"/>
    <d v="2025-05-30T00:00:00"/>
    <x v="0"/>
    <s v="South"/>
    <s v="Tablet"/>
    <s v="Organic"/>
    <x v="1"/>
  </r>
  <r>
    <x v="313"/>
    <d v="2025-01-05T00:00:00"/>
    <x v="0"/>
    <s v="West"/>
    <s v="Mobile"/>
    <s v="Organic"/>
    <x v="2"/>
  </r>
  <r>
    <x v="314"/>
    <d v="2025-01-20T00:00:00"/>
    <x v="0"/>
    <s v="East"/>
    <s v="Mobile"/>
    <s v="Organic"/>
    <x v="1"/>
  </r>
  <r>
    <x v="315"/>
    <d v="2025-05-01T00:00:00"/>
    <x v="0"/>
    <s v="East"/>
    <s v="Mobile"/>
    <s v="Email"/>
    <x v="1"/>
  </r>
  <r>
    <x v="316"/>
    <d v="2025-03-05T00:00:00"/>
    <x v="0"/>
    <s v="North"/>
    <s v="Desktop"/>
    <s v="Organic"/>
    <x v="2"/>
  </r>
  <r>
    <x v="317"/>
    <d v="2025-04-01T00:00:00"/>
    <x v="0"/>
    <s v="East"/>
    <s v="Desktop"/>
    <s v="Referral"/>
    <x v="1"/>
  </r>
  <r>
    <x v="318"/>
    <d v="2025-05-03T00:00:00"/>
    <x v="0"/>
    <s v="North"/>
    <s v="Mobile"/>
    <s v="Organic"/>
    <x v="1"/>
  </r>
  <r>
    <x v="319"/>
    <d v="2025-03-06T00:00:00"/>
    <x v="0"/>
    <s v="South"/>
    <s v="Desktop"/>
    <s v="Paid Search"/>
    <x v="2"/>
  </r>
  <r>
    <x v="320"/>
    <d v="2025-04-01T00:00:00"/>
    <x v="0"/>
    <s v="North"/>
    <s v="Desktop"/>
    <s v="Referral"/>
    <x v="2"/>
  </r>
  <r>
    <x v="321"/>
    <d v="2025-02-09T00:00:00"/>
    <x v="0"/>
    <s v="North"/>
    <s v="Desktop"/>
    <s v="Social"/>
    <x v="0"/>
  </r>
  <r>
    <x v="322"/>
    <d v="2025-04-12T00:00:00"/>
    <x v="0"/>
    <s v="West"/>
    <s v="Mobile"/>
    <s v="Organic"/>
    <x v="0"/>
  </r>
  <r>
    <x v="323"/>
    <d v="2025-03-18T00:00:00"/>
    <x v="0"/>
    <s v="East"/>
    <s v="Mobile"/>
    <s v="Social"/>
    <x v="1"/>
  </r>
  <r>
    <x v="324"/>
    <d v="2025-04-03T00:00:00"/>
    <x v="0"/>
    <s v="East"/>
    <s v="Mobile"/>
    <s v="Paid Search"/>
    <x v="1"/>
  </r>
  <r>
    <x v="325"/>
    <d v="2025-04-02T00:00:00"/>
    <x v="0"/>
    <s v="West"/>
    <s v="Mobile"/>
    <s v="Email"/>
    <x v="2"/>
  </r>
  <r>
    <x v="326"/>
    <d v="2025-05-10T00:00:00"/>
    <x v="0"/>
    <s v="West"/>
    <s v="Desktop"/>
    <s v="Email"/>
    <x v="0"/>
  </r>
  <r>
    <x v="327"/>
    <d v="2025-04-29T00:00:00"/>
    <x v="0"/>
    <s v="West"/>
    <s v="Desktop"/>
    <s v="Paid Search"/>
    <x v="1"/>
  </r>
  <r>
    <x v="328"/>
    <d v="2025-02-27T00:00:00"/>
    <x v="0"/>
    <s v="South"/>
    <s v="Mobile"/>
    <s v="Paid Search"/>
    <x v="1"/>
  </r>
  <r>
    <x v="329"/>
    <d v="2025-04-10T00:00:00"/>
    <x v="0"/>
    <s v="North"/>
    <s v="Desktop"/>
    <s v="Organic"/>
    <x v="2"/>
  </r>
  <r>
    <x v="330"/>
    <d v="2025-02-13T00:00:00"/>
    <x v="0"/>
    <s v="East"/>
    <s v="Mobile"/>
    <s v="Organic"/>
    <x v="1"/>
  </r>
  <r>
    <x v="331"/>
    <d v="2025-05-03T00:00:00"/>
    <x v="0"/>
    <s v="North"/>
    <s v="Mobile"/>
    <s v="Organic"/>
    <x v="0"/>
  </r>
  <r>
    <x v="332"/>
    <d v="2025-03-10T00:00:00"/>
    <x v="0"/>
    <s v="East"/>
    <s v="Mobile"/>
    <s v="Organic"/>
    <x v="0"/>
  </r>
  <r>
    <x v="333"/>
    <d v="2025-01-10T00:00:00"/>
    <x v="0"/>
    <s v="West"/>
    <s v="Tablet"/>
    <s v="Social"/>
    <x v="1"/>
  </r>
  <r>
    <x v="334"/>
    <d v="2025-01-16T00:00:00"/>
    <x v="0"/>
    <s v="South"/>
    <s v="Mobile"/>
    <s v="Email"/>
    <x v="0"/>
  </r>
  <r>
    <x v="335"/>
    <d v="2025-02-11T00:00:00"/>
    <x v="0"/>
    <s v="South"/>
    <s v="Desktop"/>
    <s v="Organic"/>
    <x v="2"/>
  </r>
  <r>
    <x v="336"/>
    <d v="2025-04-13T00:00:00"/>
    <x v="0"/>
    <s v="West"/>
    <s v="Mobile"/>
    <s v="Organic"/>
    <x v="1"/>
  </r>
  <r>
    <x v="337"/>
    <d v="2025-02-08T00:00:00"/>
    <x v="0"/>
    <s v="East"/>
    <s v="Mobile"/>
    <s v="Paid Search"/>
    <x v="1"/>
  </r>
  <r>
    <x v="338"/>
    <d v="2025-03-31T00:00:00"/>
    <x v="0"/>
    <s v="West"/>
    <s v="Desktop"/>
    <s v="Referral"/>
    <x v="1"/>
  </r>
  <r>
    <x v="339"/>
    <d v="2025-01-31T00:00:00"/>
    <x v="0"/>
    <s v="West"/>
    <s v="Desktop"/>
    <s v="Referral"/>
    <x v="1"/>
  </r>
  <r>
    <x v="340"/>
    <d v="2025-05-08T00:00:00"/>
    <x v="0"/>
    <s v="West"/>
    <s v="Tablet"/>
    <s v="Organic"/>
    <x v="1"/>
  </r>
  <r>
    <x v="341"/>
    <d v="2025-03-15T00:00:00"/>
    <x v="0"/>
    <s v="North"/>
    <s v="Mobile"/>
    <s v="Paid Search"/>
    <x v="1"/>
  </r>
  <r>
    <x v="342"/>
    <d v="2025-01-13T00:00:00"/>
    <x v="0"/>
    <s v="South"/>
    <s v="Mobile"/>
    <s v="Referral"/>
    <x v="0"/>
  </r>
  <r>
    <x v="343"/>
    <d v="2025-03-07T00:00:00"/>
    <x v="0"/>
    <s v="South"/>
    <s v="Tablet"/>
    <s v="Organic"/>
    <x v="0"/>
  </r>
  <r>
    <x v="344"/>
    <d v="2025-02-10T00:00:00"/>
    <x v="0"/>
    <s v="South"/>
    <s v="Mobile"/>
    <s v="Social"/>
    <x v="2"/>
  </r>
  <r>
    <x v="345"/>
    <d v="2025-03-12T00:00:00"/>
    <x v="0"/>
    <s v="East"/>
    <s v="Mobile"/>
    <s v="Paid Search"/>
    <x v="1"/>
  </r>
  <r>
    <x v="346"/>
    <d v="2025-01-03T00:00:00"/>
    <x v="0"/>
    <s v="South"/>
    <s v="Desktop"/>
    <s v="Paid Search"/>
    <x v="1"/>
  </r>
  <r>
    <x v="347"/>
    <d v="2025-04-28T00:00:00"/>
    <x v="0"/>
    <s v="North"/>
    <s v="Tablet"/>
    <s v="Social"/>
    <x v="0"/>
  </r>
  <r>
    <x v="348"/>
    <d v="2025-04-17T00:00:00"/>
    <x v="0"/>
    <s v="East"/>
    <s v="Mobile"/>
    <s v="Organic"/>
    <x v="1"/>
  </r>
  <r>
    <x v="349"/>
    <d v="2025-05-23T00:00:00"/>
    <x v="0"/>
    <s v="South"/>
    <s v="Desktop"/>
    <s v="Social"/>
    <x v="0"/>
  </r>
  <r>
    <x v="350"/>
    <d v="2025-02-19T00:00:00"/>
    <x v="0"/>
    <s v="West"/>
    <s v="Tablet"/>
    <s v="Referral"/>
    <x v="0"/>
  </r>
  <r>
    <x v="351"/>
    <d v="2025-01-18T00:00:00"/>
    <x v="0"/>
    <s v="South"/>
    <s v="Desktop"/>
    <s v="Organic"/>
    <x v="1"/>
  </r>
  <r>
    <x v="352"/>
    <d v="2025-04-17T00:00:00"/>
    <x v="0"/>
    <s v="North"/>
    <s v="Mobile"/>
    <s v="Organic"/>
    <x v="1"/>
  </r>
  <r>
    <x v="353"/>
    <d v="2025-04-12T00:00:00"/>
    <x v="0"/>
    <s v="East"/>
    <s v="Tablet"/>
    <s v="Social"/>
    <x v="1"/>
  </r>
  <r>
    <x v="354"/>
    <d v="2025-05-16T00:00:00"/>
    <x v="0"/>
    <s v="East"/>
    <s v="Mobile"/>
    <s v="Email"/>
    <x v="1"/>
  </r>
  <r>
    <x v="355"/>
    <d v="2025-03-24T00:00:00"/>
    <x v="0"/>
    <s v="West"/>
    <s v="Mobile"/>
    <s v="Social"/>
    <x v="1"/>
  </r>
  <r>
    <x v="356"/>
    <d v="2025-02-16T00:00:00"/>
    <x v="0"/>
    <s v="West"/>
    <s v="Mobile"/>
    <s v="Organic"/>
    <x v="0"/>
  </r>
  <r>
    <x v="357"/>
    <d v="2025-03-19T00:00:00"/>
    <x v="0"/>
    <s v="North"/>
    <s v="Tablet"/>
    <s v="Organic"/>
    <x v="1"/>
  </r>
  <r>
    <x v="358"/>
    <d v="2025-04-21T00:00:00"/>
    <x v="0"/>
    <s v="South"/>
    <s v="Mobile"/>
    <s v="Organic"/>
    <x v="0"/>
  </r>
  <r>
    <x v="359"/>
    <d v="2025-01-11T00:00:00"/>
    <x v="0"/>
    <s v="West"/>
    <s v="Mobile"/>
    <s v="Organic"/>
    <x v="1"/>
  </r>
  <r>
    <x v="360"/>
    <d v="2025-04-24T00:00:00"/>
    <x v="0"/>
    <s v="West"/>
    <s v="Desktop"/>
    <s v="Organic"/>
    <x v="1"/>
  </r>
  <r>
    <x v="361"/>
    <d v="2025-03-13T00:00:00"/>
    <x v="0"/>
    <s v="North"/>
    <s v="Mobile"/>
    <s v="Social"/>
    <x v="2"/>
  </r>
  <r>
    <x v="362"/>
    <d v="2025-01-30T00:00:00"/>
    <x v="0"/>
    <s v="North"/>
    <s v="Mobile"/>
    <s v="Social"/>
    <x v="0"/>
  </r>
  <r>
    <x v="363"/>
    <d v="2025-05-08T00:00:00"/>
    <x v="0"/>
    <s v="South"/>
    <s v="Mobile"/>
    <s v="Social"/>
    <x v="0"/>
  </r>
  <r>
    <x v="364"/>
    <d v="2025-01-08T00:00:00"/>
    <x v="0"/>
    <s v="East"/>
    <s v="Desktop"/>
    <s v="Social"/>
    <x v="1"/>
  </r>
  <r>
    <x v="365"/>
    <d v="2025-05-03T00:00:00"/>
    <x v="0"/>
    <s v="South"/>
    <s v="Mobile"/>
    <s v="Organic"/>
    <x v="1"/>
  </r>
  <r>
    <x v="366"/>
    <d v="2025-02-12T00:00:00"/>
    <x v="0"/>
    <s v="East"/>
    <s v="Mobile"/>
    <s v="Paid Search"/>
    <x v="1"/>
  </r>
  <r>
    <x v="367"/>
    <d v="2025-02-25T00:00:00"/>
    <x v="0"/>
    <s v="South"/>
    <s v="Tablet"/>
    <s v="Organic"/>
    <x v="1"/>
  </r>
  <r>
    <x v="368"/>
    <d v="2025-04-14T00:00:00"/>
    <x v="0"/>
    <s v="South"/>
    <s v="Mobile"/>
    <s v="Referral"/>
    <x v="1"/>
  </r>
  <r>
    <x v="369"/>
    <d v="2025-01-08T00:00:00"/>
    <x v="0"/>
    <s v="North"/>
    <s v="Mobile"/>
    <s v="Referral"/>
    <x v="2"/>
  </r>
  <r>
    <x v="370"/>
    <d v="2025-03-14T00:00:00"/>
    <x v="0"/>
    <s v="East"/>
    <s v="Mobile"/>
    <s v="Email"/>
    <x v="1"/>
  </r>
  <r>
    <x v="371"/>
    <d v="2025-04-29T00:00:00"/>
    <x v="0"/>
    <s v="North"/>
    <s v="Desktop"/>
    <s v="Paid Search"/>
    <x v="2"/>
  </r>
  <r>
    <x v="372"/>
    <d v="2025-05-01T00:00:00"/>
    <x v="0"/>
    <s v="East"/>
    <s v="Desktop"/>
    <s v="Social"/>
    <x v="1"/>
  </r>
  <r>
    <x v="373"/>
    <d v="2025-03-19T00:00:00"/>
    <x v="0"/>
    <s v="North"/>
    <s v="Mobile"/>
    <s v="Referral"/>
    <x v="1"/>
  </r>
  <r>
    <x v="374"/>
    <d v="2025-05-01T00:00:00"/>
    <x v="0"/>
    <s v="South"/>
    <s v="Desktop"/>
    <s v="Social"/>
    <x v="0"/>
  </r>
  <r>
    <x v="375"/>
    <d v="2025-03-14T00:00:00"/>
    <x v="0"/>
    <s v="West"/>
    <s v="Mobile"/>
    <s v="Organic"/>
    <x v="1"/>
  </r>
  <r>
    <x v="376"/>
    <d v="2025-03-23T00:00:00"/>
    <x v="0"/>
    <s v="North"/>
    <s v="Mobile"/>
    <s v="Paid Search"/>
    <x v="1"/>
  </r>
  <r>
    <x v="377"/>
    <d v="2025-02-08T00:00:00"/>
    <x v="0"/>
    <s v="East"/>
    <s v="Mobile"/>
    <s v="Referral"/>
    <x v="0"/>
  </r>
  <r>
    <x v="378"/>
    <d v="2025-04-15T00:00:00"/>
    <x v="0"/>
    <s v="West"/>
    <s v="Tablet"/>
    <s v="Paid Search"/>
    <x v="0"/>
  </r>
  <r>
    <x v="379"/>
    <d v="2025-01-03T00:00:00"/>
    <x v="0"/>
    <s v="South"/>
    <s v="Desktop"/>
    <s v="Paid Search"/>
    <x v="0"/>
  </r>
  <r>
    <x v="380"/>
    <d v="2025-03-23T00:00:00"/>
    <x v="0"/>
    <s v="West"/>
    <s v="Mobile"/>
    <s v="Social"/>
    <x v="1"/>
  </r>
  <r>
    <x v="381"/>
    <d v="2025-05-27T00:00:00"/>
    <x v="0"/>
    <s v="South"/>
    <s v="Mobile"/>
    <s v="Referral"/>
    <x v="2"/>
  </r>
  <r>
    <x v="382"/>
    <d v="2025-04-30T00:00:00"/>
    <x v="0"/>
    <s v="East"/>
    <s v="Mobile"/>
    <s v="Organic"/>
    <x v="1"/>
  </r>
  <r>
    <x v="383"/>
    <d v="2025-03-07T00:00:00"/>
    <x v="0"/>
    <s v="West"/>
    <s v="Mobile"/>
    <s v="Social"/>
    <x v="0"/>
  </r>
  <r>
    <x v="384"/>
    <d v="2025-05-10T00:00:00"/>
    <x v="0"/>
    <s v="South"/>
    <s v="Mobile"/>
    <s v="Organic"/>
    <x v="0"/>
  </r>
  <r>
    <x v="385"/>
    <d v="2025-05-22T00:00:00"/>
    <x v="0"/>
    <s v="East"/>
    <s v="Mobile"/>
    <s v="Organic"/>
    <x v="1"/>
  </r>
  <r>
    <x v="386"/>
    <d v="2025-02-09T00:00:00"/>
    <x v="0"/>
    <s v="East"/>
    <s v="Mobile"/>
    <s v="Paid Search"/>
    <x v="1"/>
  </r>
  <r>
    <x v="387"/>
    <d v="2025-05-30T00:00:00"/>
    <x v="0"/>
    <s v="West"/>
    <s v="Desktop"/>
    <s v="Organic"/>
    <x v="2"/>
  </r>
  <r>
    <x v="388"/>
    <d v="2025-05-01T00:00:00"/>
    <x v="0"/>
    <s v="South"/>
    <s v="Mobile"/>
    <s v="Organic"/>
    <x v="2"/>
  </r>
  <r>
    <x v="389"/>
    <d v="2025-01-03T00:00:00"/>
    <x v="0"/>
    <s v="South"/>
    <s v="Mobile"/>
    <s v="Paid Search"/>
    <x v="1"/>
  </r>
  <r>
    <x v="390"/>
    <d v="2025-02-13T00:00:00"/>
    <x v="0"/>
    <s v="East"/>
    <s v="Mobile"/>
    <s v="Organic"/>
    <x v="1"/>
  </r>
  <r>
    <x v="391"/>
    <d v="2025-01-14T00:00:00"/>
    <x v="0"/>
    <s v="South"/>
    <s v="Desktop"/>
    <s v="Organic"/>
    <x v="1"/>
  </r>
  <r>
    <x v="392"/>
    <d v="2025-02-24T00:00:00"/>
    <x v="0"/>
    <s v="North"/>
    <s v="Mobile"/>
    <s v="Referral"/>
    <x v="1"/>
  </r>
  <r>
    <x v="393"/>
    <d v="2025-05-16T00:00:00"/>
    <x v="0"/>
    <s v="West"/>
    <s v="Desktop"/>
    <s v="Organic"/>
    <x v="0"/>
  </r>
  <r>
    <x v="394"/>
    <d v="2025-04-29T00:00:00"/>
    <x v="0"/>
    <s v="North"/>
    <s v="Mobile"/>
    <s v="Paid Search"/>
    <x v="1"/>
  </r>
  <r>
    <x v="395"/>
    <d v="2025-04-30T00:00:00"/>
    <x v="0"/>
    <s v="South"/>
    <s v="Desktop"/>
    <s v="Email"/>
    <x v="0"/>
  </r>
  <r>
    <x v="396"/>
    <d v="2025-01-09T00:00:00"/>
    <x v="0"/>
    <s v="South"/>
    <s v="Desktop"/>
    <s v="Organic"/>
    <x v="1"/>
  </r>
  <r>
    <x v="397"/>
    <d v="2025-04-25T00:00:00"/>
    <x v="0"/>
    <s v="South"/>
    <s v="Mobile"/>
    <s v="Organic"/>
    <x v="1"/>
  </r>
  <r>
    <x v="398"/>
    <d v="2025-03-12T00:00:00"/>
    <x v="0"/>
    <s v="North"/>
    <s v="Desktop"/>
    <s v="Paid Search"/>
    <x v="1"/>
  </r>
  <r>
    <x v="399"/>
    <d v="2025-03-20T00:00:00"/>
    <x v="0"/>
    <s v="North"/>
    <s v="Mobile"/>
    <s v="Organic"/>
    <x v="1"/>
  </r>
  <r>
    <x v="400"/>
    <d v="2025-02-18T00:00:00"/>
    <x v="0"/>
    <s v="West"/>
    <s v="Mobile"/>
    <s v="Paid Search"/>
    <x v="1"/>
  </r>
  <r>
    <x v="401"/>
    <d v="2025-01-22T00:00:00"/>
    <x v="0"/>
    <s v="North"/>
    <s v="Mobile"/>
    <s v="Social"/>
    <x v="0"/>
  </r>
  <r>
    <x v="402"/>
    <d v="2025-02-08T00:00:00"/>
    <x v="0"/>
    <s v="West"/>
    <s v="Mobile"/>
    <s v="Email"/>
    <x v="0"/>
  </r>
  <r>
    <x v="403"/>
    <d v="2025-01-20T00:00:00"/>
    <x v="0"/>
    <s v="North"/>
    <s v="Mobile"/>
    <s v="Email"/>
    <x v="2"/>
  </r>
  <r>
    <x v="404"/>
    <d v="2025-04-22T00:00:00"/>
    <x v="0"/>
    <s v="West"/>
    <s v="Desktop"/>
    <s v="Referral"/>
    <x v="1"/>
  </r>
  <r>
    <x v="405"/>
    <d v="2025-01-22T00:00:00"/>
    <x v="0"/>
    <s v="East"/>
    <s v="Mobile"/>
    <s v="Organic"/>
    <x v="0"/>
  </r>
  <r>
    <x v="406"/>
    <d v="2025-05-11T00:00:00"/>
    <x v="0"/>
    <s v="West"/>
    <s v="Mobile"/>
    <s v="Organic"/>
    <x v="0"/>
  </r>
  <r>
    <x v="407"/>
    <d v="2025-02-06T00:00:00"/>
    <x v="0"/>
    <s v="South"/>
    <s v="Mobile"/>
    <s v="Organic"/>
    <x v="0"/>
  </r>
  <r>
    <x v="408"/>
    <d v="2025-02-21T00:00:00"/>
    <x v="0"/>
    <s v="North"/>
    <s v="Desktop"/>
    <s v="Organic"/>
    <x v="2"/>
  </r>
  <r>
    <x v="409"/>
    <d v="2025-01-13T00:00:00"/>
    <x v="0"/>
    <s v="West"/>
    <s v="Mobile"/>
    <s v="Email"/>
    <x v="2"/>
  </r>
  <r>
    <x v="410"/>
    <d v="2025-03-07T00:00:00"/>
    <x v="0"/>
    <s v="North"/>
    <s v="Mobile"/>
    <s v="Referral"/>
    <x v="2"/>
  </r>
  <r>
    <x v="411"/>
    <d v="2025-02-26T00:00:00"/>
    <x v="0"/>
    <s v="West"/>
    <s v="Desktop"/>
    <s v="Organic"/>
    <x v="0"/>
  </r>
  <r>
    <x v="412"/>
    <d v="2025-05-05T00:00:00"/>
    <x v="0"/>
    <s v="North"/>
    <s v="Mobile"/>
    <s v="Referral"/>
    <x v="2"/>
  </r>
  <r>
    <x v="413"/>
    <d v="2025-01-08T00:00:00"/>
    <x v="0"/>
    <s v="East"/>
    <s v="Desktop"/>
    <s v="Organic"/>
    <x v="0"/>
  </r>
  <r>
    <x v="414"/>
    <d v="2025-03-19T00:00:00"/>
    <x v="0"/>
    <s v="South"/>
    <s v="Mobile"/>
    <s v="Email"/>
    <x v="2"/>
  </r>
  <r>
    <x v="415"/>
    <d v="2025-01-30T00:00:00"/>
    <x v="0"/>
    <s v="East"/>
    <s v="Desktop"/>
    <s v="Paid Search"/>
    <x v="1"/>
  </r>
  <r>
    <x v="416"/>
    <d v="2025-04-28T00:00:00"/>
    <x v="0"/>
    <s v="East"/>
    <s v="Mobile"/>
    <s v="Organic"/>
    <x v="0"/>
  </r>
  <r>
    <x v="417"/>
    <d v="2025-03-07T00:00:00"/>
    <x v="0"/>
    <s v="North"/>
    <s v="Mobile"/>
    <s v="Referral"/>
    <x v="0"/>
  </r>
  <r>
    <x v="418"/>
    <d v="2025-04-07T00:00:00"/>
    <x v="0"/>
    <s v="North"/>
    <s v="Desktop"/>
    <s v="Organic"/>
    <x v="1"/>
  </r>
  <r>
    <x v="419"/>
    <d v="2025-05-08T00:00:00"/>
    <x v="0"/>
    <s v="North"/>
    <s v="Desktop"/>
    <s v="Organic"/>
    <x v="2"/>
  </r>
  <r>
    <x v="420"/>
    <d v="2025-04-15T00:00:00"/>
    <x v="0"/>
    <s v="South"/>
    <s v="Mobile"/>
    <s v="Email"/>
    <x v="1"/>
  </r>
  <r>
    <x v="421"/>
    <d v="2025-04-20T00:00:00"/>
    <x v="0"/>
    <s v="East"/>
    <s v="Desktop"/>
    <s v="Social"/>
    <x v="1"/>
  </r>
  <r>
    <x v="422"/>
    <d v="2025-05-30T00:00:00"/>
    <x v="0"/>
    <s v="South"/>
    <s v="Tablet"/>
    <s v="Organic"/>
    <x v="1"/>
  </r>
  <r>
    <x v="423"/>
    <d v="2025-02-13T00:00:00"/>
    <x v="0"/>
    <s v="West"/>
    <s v="Mobile"/>
    <s v="Referral"/>
    <x v="1"/>
  </r>
  <r>
    <x v="424"/>
    <d v="2025-04-28T00:00:00"/>
    <x v="0"/>
    <s v="West"/>
    <s v="Mobile"/>
    <s v="Social"/>
    <x v="1"/>
  </r>
  <r>
    <x v="425"/>
    <d v="2025-02-12T00:00:00"/>
    <x v="0"/>
    <s v="North"/>
    <s v="Mobile"/>
    <s v="Paid Search"/>
    <x v="0"/>
  </r>
  <r>
    <x v="426"/>
    <d v="2025-02-12T00:00:00"/>
    <x v="0"/>
    <s v="East"/>
    <s v="Mobile"/>
    <s v="Organic"/>
    <x v="1"/>
  </r>
  <r>
    <x v="427"/>
    <d v="2025-03-27T00:00:00"/>
    <x v="0"/>
    <s v="North"/>
    <s v="Mobile"/>
    <s v="Email"/>
    <x v="2"/>
  </r>
  <r>
    <x v="428"/>
    <d v="2025-04-12T00:00:00"/>
    <x v="0"/>
    <s v="South"/>
    <s v="Desktop"/>
    <s v="Organic"/>
    <x v="1"/>
  </r>
  <r>
    <x v="429"/>
    <d v="2025-01-30T00:00:00"/>
    <x v="0"/>
    <s v="West"/>
    <s v="Mobile"/>
    <s v="Social"/>
    <x v="1"/>
  </r>
  <r>
    <x v="430"/>
    <d v="2025-05-28T00:00:00"/>
    <x v="0"/>
    <s v="West"/>
    <s v="Mobile"/>
    <s v="Social"/>
    <x v="2"/>
  </r>
  <r>
    <x v="431"/>
    <d v="2025-05-01T00:00:00"/>
    <x v="0"/>
    <s v="South"/>
    <s v="Mobile"/>
    <s v="Organic"/>
    <x v="0"/>
  </r>
  <r>
    <x v="432"/>
    <d v="2025-02-03T00:00:00"/>
    <x v="0"/>
    <s v="North"/>
    <s v="Tablet"/>
    <s v="Email"/>
    <x v="0"/>
  </r>
  <r>
    <x v="433"/>
    <d v="2025-01-10T00:00:00"/>
    <x v="0"/>
    <s v="South"/>
    <s v="Desktop"/>
    <s v="Social"/>
    <x v="0"/>
  </r>
  <r>
    <x v="434"/>
    <d v="2025-05-02T00:00:00"/>
    <x v="0"/>
    <s v="North"/>
    <s v="Desktop"/>
    <s v="Organic"/>
    <x v="0"/>
  </r>
  <r>
    <x v="435"/>
    <d v="2025-05-26T00:00:00"/>
    <x v="0"/>
    <s v="North"/>
    <s v="Desktop"/>
    <s v="Organic"/>
    <x v="0"/>
  </r>
  <r>
    <x v="436"/>
    <d v="2025-01-12T00:00:00"/>
    <x v="0"/>
    <s v="West"/>
    <s v="Mobile"/>
    <s v="Organic"/>
    <x v="0"/>
  </r>
  <r>
    <x v="437"/>
    <d v="2025-05-27T00:00:00"/>
    <x v="0"/>
    <s v="East"/>
    <s v="Mobile"/>
    <s v="Paid Search"/>
    <x v="0"/>
  </r>
  <r>
    <x v="438"/>
    <d v="2025-05-22T00:00:00"/>
    <x v="0"/>
    <s v="West"/>
    <s v="Desktop"/>
    <s v="Email"/>
    <x v="0"/>
  </r>
  <r>
    <x v="439"/>
    <d v="2025-04-01T00:00:00"/>
    <x v="0"/>
    <s v="East"/>
    <s v="Mobile"/>
    <s v="Social"/>
    <x v="2"/>
  </r>
  <r>
    <x v="440"/>
    <d v="2025-01-22T00:00:00"/>
    <x v="0"/>
    <s v="North"/>
    <s v="Mobile"/>
    <s v="Paid Search"/>
    <x v="0"/>
  </r>
  <r>
    <x v="441"/>
    <d v="2025-05-24T00:00:00"/>
    <x v="0"/>
    <s v="East"/>
    <s v="Mobile"/>
    <s v="Paid Search"/>
    <x v="0"/>
  </r>
  <r>
    <x v="442"/>
    <d v="2025-04-25T00:00:00"/>
    <x v="0"/>
    <s v="South"/>
    <s v="Mobile"/>
    <s v="Social"/>
    <x v="1"/>
  </r>
  <r>
    <x v="443"/>
    <d v="2025-04-12T00:00:00"/>
    <x v="0"/>
    <s v="West"/>
    <s v="Desktop"/>
    <s v="Referral"/>
    <x v="1"/>
  </r>
  <r>
    <x v="444"/>
    <d v="2025-04-23T00:00:00"/>
    <x v="0"/>
    <s v="South"/>
    <s v="Mobile"/>
    <s v="Organic"/>
    <x v="2"/>
  </r>
  <r>
    <x v="445"/>
    <d v="2025-03-30T00:00:00"/>
    <x v="0"/>
    <s v="North"/>
    <s v="Desktop"/>
    <s v="Referral"/>
    <x v="1"/>
  </r>
  <r>
    <x v="446"/>
    <d v="2025-01-18T00:00:00"/>
    <x v="0"/>
    <s v="East"/>
    <s v="Mobile"/>
    <s v="Referral"/>
    <x v="0"/>
  </r>
  <r>
    <x v="447"/>
    <d v="2025-04-09T00:00:00"/>
    <x v="0"/>
    <s v="East"/>
    <s v="Mobile"/>
    <s v="Organic"/>
    <x v="1"/>
  </r>
  <r>
    <x v="448"/>
    <d v="2025-01-11T00:00:00"/>
    <x v="0"/>
    <s v="West"/>
    <s v="Mobile"/>
    <s v="Organic"/>
    <x v="1"/>
  </r>
  <r>
    <x v="449"/>
    <d v="2025-03-05T00:00:00"/>
    <x v="0"/>
    <s v="East"/>
    <s v="Mobile"/>
    <s v="Paid Search"/>
    <x v="1"/>
  </r>
  <r>
    <x v="450"/>
    <d v="2025-02-17T00:00:00"/>
    <x v="0"/>
    <s v="North"/>
    <s v="Tablet"/>
    <s v="Social"/>
    <x v="1"/>
  </r>
  <r>
    <x v="451"/>
    <d v="2025-05-07T00:00:00"/>
    <x v="0"/>
    <s v="North"/>
    <s v="Desktop"/>
    <s v="Paid Search"/>
    <x v="1"/>
  </r>
  <r>
    <x v="452"/>
    <d v="2025-04-10T00:00:00"/>
    <x v="0"/>
    <s v="East"/>
    <s v="Mobile"/>
    <s v="Paid Search"/>
    <x v="2"/>
  </r>
  <r>
    <x v="453"/>
    <d v="2025-04-21T00:00:00"/>
    <x v="0"/>
    <s v="North"/>
    <s v="Mobile"/>
    <s v="Social"/>
    <x v="1"/>
  </r>
  <r>
    <x v="454"/>
    <d v="2025-02-25T00:00:00"/>
    <x v="0"/>
    <s v="South"/>
    <s v="Tablet"/>
    <m/>
    <x v="1"/>
  </r>
  <r>
    <x v="455"/>
    <d v="2025-05-14T00:00:00"/>
    <x v="0"/>
    <s v="East"/>
    <s v="Desktop"/>
    <s v="Organic"/>
    <x v="1"/>
  </r>
  <r>
    <x v="456"/>
    <d v="2025-03-10T00:00:00"/>
    <x v="0"/>
    <s v="North"/>
    <s v="Mobile"/>
    <s v="Email"/>
    <x v="0"/>
  </r>
  <r>
    <x v="457"/>
    <d v="2025-01-31T00:00:00"/>
    <x v="0"/>
    <s v="West"/>
    <s v="Desktop"/>
    <s v="Organic"/>
    <x v="2"/>
  </r>
  <r>
    <x v="458"/>
    <d v="2025-01-17T00:00:00"/>
    <x v="0"/>
    <s v="South"/>
    <s v="Mobile"/>
    <s v="Organic"/>
    <x v="2"/>
  </r>
  <r>
    <x v="459"/>
    <d v="2025-03-12T00:00:00"/>
    <x v="0"/>
    <s v="South"/>
    <s v="Mobile"/>
    <s v="Paid Search"/>
    <x v="1"/>
  </r>
  <r>
    <x v="460"/>
    <d v="2025-02-28T00:00:00"/>
    <x v="0"/>
    <s v="West"/>
    <s v="Desktop"/>
    <s v="Organic"/>
    <x v="2"/>
  </r>
  <r>
    <x v="461"/>
    <d v="2025-05-19T00:00:00"/>
    <x v="0"/>
    <s v="North"/>
    <m/>
    <s v="Organic"/>
    <x v="0"/>
  </r>
  <r>
    <x v="462"/>
    <d v="2025-02-23T00:00:00"/>
    <x v="0"/>
    <s v="North"/>
    <s v="Mobile"/>
    <s v="Referral"/>
    <x v="0"/>
  </r>
  <r>
    <x v="463"/>
    <d v="2025-02-20T00:00:00"/>
    <x v="0"/>
    <s v="West"/>
    <s v="Desktop"/>
    <s v="Organic"/>
    <x v="1"/>
  </r>
  <r>
    <x v="464"/>
    <d v="2025-04-12T00:00:00"/>
    <x v="0"/>
    <s v="North"/>
    <s v="Mobile"/>
    <m/>
    <x v="1"/>
  </r>
  <r>
    <x v="465"/>
    <d v="2025-01-08T00:00:00"/>
    <x v="0"/>
    <s v="West"/>
    <s v="Mobile"/>
    <s v="Email"/>
    <x v="1"/>
  </r>
  <r>
    <x v="466"/>
    <d v="2025-02-13T00:00:00"/>
    <x v="0"/>
    <s v="West"/>
    <s v="Mobile"/>
    <s v="Organic"/>
    <x v="0"/>
  </r>
  <r>
    <x v="467"/>
    <d v="2025-05-21T00:00:00"/>
    <x v="0"/>
    <s v="East"/>
    <s v="Desktop"/>
    <s v="Email"/>
    <x v="1"/>
  </r>
  <r>
    <x v="468"/>
    <d v="2025-05-30T00:00:00"/>
    <x v="0"/>
    <s v="North"/>
    <s v="Mobile"/>
    <s v="Organic"/>
    <x v="0"/>
  </r>
  <r>
    <x v="469"/>
    <d v="2025-05-20T00:00:00"/>
    <x v="0"/>
    <s v="West"/>
    <s v="Mobile"/>
    <s v="Paid Search"/>
    <x v="1"/>
  </r>
  <r>
    <x v="470"/>
    <d v="2025-01-09T00:00:00"/>
    <x v="0"/>
    <s v="East"/>
    <s v="Desktop"/>
    <s v="Organic"/>
    <x v="1"/>
  </r>
  <r>
    <x v="471"/>
    <d v="2025-03-07T00:00:00"/>
    <x v="0"/>
    <s v="West"/>
    <s v="Mobile"/>
    <s v="Organic"/>
    <x v="1"/>
  </r>
  <r>
    <x v="472"/>
    <d v="2025-04-23T00:00:00"/>
    <x v="0"/>
    <s v="South"/>
    <s v="Mobile"/>
    <s v="Social"/>
    <x v="1"/>
  </r>
  <r>
    <x v="473"/>
    <d v="2025-03-08T00:00:00"/>
    <x v="0"/>
    <s v="East"/>
    <s v="Mobile"/>
    <s v="Organic"/>
    <x v="0"/>
  </r>
  <r>
    <x v="474"/>
    <d v="2025-02-14T00:00:00"/>
    <x v="0"/>
    <s v="South"/>
    <s v="Mobile"/>
    <s v="Referral"/>
    <x v="1"/>
  </r>
  <r>
    <x v="475"/>
    <d v="2025-05-17T00:00:00"/>
    <x v="0"/>
    <s v="West"/>
    <s v="Mobile"/>
    <s v="Referral"/>
    <x v="0"/>
  </r>
  <r>
    <x v="476"/>
    <d v="2025-04-25T00:00:00"/>
    <x v="0"/>
    <s v="South"/>
    <s v="Mobile"/>
    <s v="Referral"/>
    <x v="1"/>
  </r>
  <r>
    <x v="477"/>
    <d v="2025-03-04T00:00:00"/>
    <x v="0"/>
    <s v="South"/>
    <s v="Desktop"/>
    <s v="Social"/>
    <x v="0"/>
  </r>
  <r>
    <x v="478"/>
    <d v="2025-03-18T00:00:00"/>
    <x v="0"/>
    <s v="South"/>
    <s v="Mobile"/>
    <s v="Organic"/>
    <x v="1"/>
  </r>
  <r>
    <x v="479"/>
    <d v="2025-01-30T00:00:00"/>
    <x v="0"/>
    <s v="West"/>
    <s v="Mobile"/>
    <s v="Paid Search"/>
    <x v="2"/>
  </r>
  <r>
    <x v="480"/>
    <d v="2025-05-20T00:00:00"/>
    <x v="0"/>
    <s v="West"/>
    <s v="Tablet"/>
    <s v="Referral"/>
    <x v="1"/>
  </r>
  <r>
    <x v="481"/>
    <d v="2025-02-13T00:00:00"/>
    <x v="0"/>
    <s v="North"/>
    <m/>
    <s v="Organic"/>
    <x v="0"/>
  </r>
  <r>
    <x v="482"/>
    <d v="2025-04-12T00:00:00"/>
    <x v="0"/>
    <s v="West"/>
    <s v="Desktop"/>
    <s v="Organic"/>
    <x v="0"/>
  </r>
  <r>
    <x v="483"/>
    <d v="2025-04-07T00:00:00"/>
    <x v="0"/>
    <s v="North"/>
    <s v="Mobile"/>
    <s v="Email"/>
    <x v="1"/>
  </r>
  <r>
    <x v="484"/>
    <d v="2025-03-12T00:00:00"/>
    <x v="0"/>
    <s v="North"/>
    <s v="Desktop"/>
    <s v="Social"/>
    <x v="1"/>
  </r>
  <r>
    <x v="485"/>
    <d v="2025-02-07T00:00:00"/>
    <x v="0"/>
    <s v="West"/>
    <s v="Mobile"/>
    <s v="Organic"/>
    <x v="1"/>
  </r>
  <r>
    <x v="486"/>
    <d v="2025-05-05T00:00:00"/>
    <x v="0"/>
    <s v="North"/>
    <s v="Mobile"/>
    <s v="Organic"/>
    <x v="2"/>
  </r>
  <r>
    <x v="487"/>
    <d v="2025-03-18T00:00:00"/>
    <x v="0"/>
    <s v="South"/>
    <s v="Mobile"/>
    <s v="Referral"/>
    <x v="1"/>
  </r>
  <r>
    <x v="488"/>
    <d v="2025-01-05T00:00:00"/>
    <x v="0"/>
    <s v="South"/>
    <s v="Mobile"/>
    <s v="Paid Search"/>
    <x v="0"/>
  </r>
  <r>
    <x v="489"/>
    <d v="2025-05-10T00:00:00"/>
    <x v="0"/>
    <s v="South"/>
    <s v="Desktop"/>
    <s v="Referral"/>
    <x v="0"/>
  </r>
  <r>
    <x v="490"/>
    <d v="2025-01-03T00:00:00"/>
    <x v="0"/>
    <s v="South"/>
    <s v="Mobile"/>
    <s v="Social"/>
    <x v="0"/>
  </r>
  <r>
    <x v="491"/>
    <d v="2025-05-08T00:00:00"/>
    <x v="0"/>
    <s v="South"/>
    <s v="Mobile"/>
    <s v="Paid Search"/>
    <x v="1"/>
  </r>
  <r>
    <x v="492"/>
    <d v="2025-03-05T00:00:00"/>
    <x v="0"/>
    <s v="South"/>
    <s v="Desktop"/>
    <s v="Email"/>
    <x v="0"/>
  </r>
  <r>
    <x v="493"/>
    <d v="2025-02-17T00:00:00"/>
    <x v="0"/>
    <s v="North"/>
    <s v="Mobile"/>
    <s v="Organic"/>
    <x v="2"/>
  </r>
  <r>
    <x v="494"/>
    <d v="2025-01-09T00:00:00"/>
    <x v="0"/>
    <s v="South"/>
    <s v="Mobile"/>
    <s v="Referral"/>
    <x v="0"/>
  </r>
  <r>
    <x v="495"/>
    <d v="2025-05-05T00:00:00"/>
    <x v="0"/>
    <s v="South"/>
    <s v="Mobile"/>
    <s v="Email"/>
    <x v="0"/>
  </r>
  <r>
    <x v="496"/>
    <d v="2025-04-16T00:00:00"/>
    <x v="0"/>
    <s v="East"/>
    <s v="Mobile"/>
    <s v="Email"/>
    <x v="0"/>
  </r>
  <r>
    <x v="497"/>
    <d v="2025-03-02T00:00:00"/>
    <x v="0"/>
    <s v="South"/>
    <s v="Desktop"/>
    <s v="Organic"/>
    <x v="1"/>
  </r>
  <r>
    <x v="498"/>
    <d v="2025-04-14T00:00:00"/>
    <x v="0"/>
    <s v="South"/>
    <s v="Mobile"/>
    <s v="Social"/>
    <x v="2"/>
  </r>
  <r>
    <x v="499"/>
    <d v="2025-02-15T00:00:00"/>
    <x v="0"/>
    <s v="East"/>
    <s v="Desktop"/>
    <s v="Paid Search"/>
    <x v="0"/>
  </r>
  <r>
    <x v="500"/>
    <d v="2025-02-13T00:00:00"/>
    <x v="0"/>
    <s v="West"/>
    <s v="Mobile"/>
    <s v="Social"/>
    <x v="1"/>
  </r>
  <r>
    <x v="501"/>
    <d v="2025-03-06T00:00:00"/>
    <x v="0"/>
    <s v="North"/>
    <s v="Mobile"/>
    <s v="Email"/>
    <x v="1"/>
  </r>
  <r>
    <x v="502"/>
    <d v="2025-02-18T00:00:00"/>
    <x v="0"/>
    <s v="South"/>
    <s v="Desktop"/>
    <s v="Social"/>
    <x v="1"/>
  </r>
  <r>
    <x v="503"/>
    <d v="2025-04-07T00:00:00"/>
    <x v="0"/>
    <s v="North"/>
    <s v="Desktop"/>
    <s v="Organic"/>
    <x v="1"/>
  </r>
  <r>
    <x v="504"/>
    <d v="2025-04-06T00:00:00"/>
    <x v="0"/>
    <s v="North"/>
    <s v="Mobile"/>
    <s v="Referral"/>
    <x v="1"/>
  </r>
  <r>
    <x v="505"/>
    <d v="2025-01-30T00:00:00"/>
    <x v="0"/>
    <s v="North"/>
    <s v="Desktop"/>
    <s v="Social"/>
    <x v="1"/>
  </r>
  <r>
    <x v="506"/>
    <d v="2025-05-13T00:00:00"/>
    <x v="0"/>
    <s v="South"/>
    <s v="Desktop"/>
    <s v="Organic"/>
    <x v="0"/>
  </r>
  <r>
    <x v="507"/>
    <d v="2025-01-20T00:00:00"/>
    <x v="0"/>
    <s v="West"/>
    <s v="Mobile"/>
    <s v="Paid Search"/>
    <x v="2"/>
  </r>
  <r>
    <x v="508"/>
    <d v="2025-01-30T00:00:00"/>
    <x v="0"/>
    <s v="North"/>
    <s v="Tablet"/>
    <s v="Organic"/>
    <x v="1"/>
  </r>
  <r>
    <x v="509"/>
    <d v="2025-01-13T00:00:00"/>
    <x v="0"/>
    <s v="South"/>
    <s v="Mobile"/>
    <s v="Organic"/>
    <x v="1"/>
  </r>
  <r>
    <x v="510"/>
    <d v="2025-02-11T00:00:00"/>
    <x v="0"/>
    <s v="North"/>
    <s v="Mobile"/>
    <s v="Social"/>
    <x v="1"/>
  </r>
  <r>
    <x v="511"/>
    <d v="2025-04-15T00:00:00"/>
    <x v="0"/>
    <s v="South"/>
    <s v="Mobile"/>
    <s v="Organic"/>
    <x v="1"/>
  </r>
  <r>
    <x v="512"/>
    <d v="2025-02-13T00:00:00"/>
    <x v="0"/>
    <s v="South"/>
    <s v="Mobile"/>
    <m/>
    <x v="1"/>
  </r>
  <r>
    <x v="513"/>
    <d v="2025-05-09T00:00:00"/>
    <x v="0"/>
    <s v="South"/>
    <s v="Desktop"/>
    <s v="Organic"/>
    <x v="1"/>
  </r>
  <r>
    <x v="514"/>
    <d v="2025-03-10T00:00:00"/>
    <x v="0"/>
    <s v="North"/>
    <s v="Mobile"/>
    <s v="Paid Search"/>
    <x v="1"/>
  </r>
  <r>
    <x v="515"/>
    <d v="2025-04-01T00:00:00"/>
    <x v="0"/>
    <s v="North"/>
    <s v="Mobile"/>
    <s v="Organic"/>
    <x v="1"/>
  </r>
  <r>
    <x v="516"/>
    <d v="2025-05-15T00:00:00"/>
    <x v="0"/>
    <s v="East"/>
    <s v="Mobile"/>
    <s v="Referral"/>
    <x v="0"/>
  </r>
  <r>
    <x v="517"/>
    <d v="2025-05-04T00:00:00"/>
    <x v="0"/>
    <s v="South"/>
    <s v="Desktop"/>
    <s v="Social"/>
    <x v="2"/>
  </r>
  <r>
    <x v="518"/>
    <d v="2025-05-20T00:00:00"/>
    <x v="0"/>
    <s v="East"/>
    <s v="Mobile"/>
    <s v="Paid Search"/>
    <x v="1"/>
  </r>
  <r>
    <x v="519"/>
    <d v="2025-05-16T00:00:00"/>
    <x v="0"/>
    <s v="West"/>
    <s v="Desktop"/>
    <s v="Referral"/>
    <x v="1"/>
  </r>
  <r>
    <x v="520"/>
    <d v="2025-03-17T00:00:00"/>
    <x v="0"/>
    <s v="West"/>
    <s v="Mobile"/>
    <s v="Organic"/>
    <x v="1"/>
  </r>
  <r>
    <x v="521"/>
    <d v="2025-01-27T00:00:00"/>
    <x v="0"/>
    <s v="East"/>
    <s v="Tablet"/>
    <s v="Paid Search"/>
    <x v="1"/>
  </r>
  <r>
    <x v="522"/>
    <d v="2025-04-13T00:00:00"/>
    <x v="0"/>
    <s v="South"/>
    <s v="Mobile"/>
    <s v="Organic"/>
    <x v="0"/>
  </r>
  <r>
    <x v="523"/>
    <d v="2025-05-03T00:00:00"/>
    <x v="0"/>
    <s v="South"/>
    <s v="Desktop"/>
    <s v="Email"/>
    <x v="0"/>
  </r>
  <r>
    <x v="524"/>
    <d v="2025-03-30T00:00:00"/>
    <x v="0"/>
    <s v="North"/>
    <s v="Mobile"/>
    <s v="Organic"/>
    <x v="1"/>
  </r>
  <r>
    <x v="525"/>
    <d v="2025-01-01T00:00:00"/>
    <x v="0"/>
    <s v="West"/>
    <s v="Mobile"/>
    <s v="Paid Search"/>
    <x v="0"/>
  </r>
  <r>
    <x v="526"/>
    <d v="2025-02-06T00:00:00"/>
    <x v="0"/>
    <s v="West"/>
    <s v="Mobile"/>
    <s v="Paid Search"/>
    <x v="0"/>
  </r>
  <r>
    <x v="527"/>
    <d v="2025-02-25T00:00:00"/>
    <x v="0"/>
    <s v="North"/>
    <s v="Desktop"/>
    <s v="Organic"/>
    <x v="1"/>
  </r>
  <r>
    <x v="528"/>
    <d v="2025-05-14T00:00:00"/>
    <x v="0"/>
    <s v="East"/>
    <s v="Tablet"/>
    <s v="Social"/>
    <x v="1"/>
  </r>
  <r>
    <x v="529"/>
    <d v="2025-05-20T00:00:00"/>
    <x v="0"/>
    <s v="South"/>
    <s v="Mobile"/>
    <s v="Organic"/>
    <x v="0"/>
  </r>
  <r>
    <x v="530"/>
    <d v="2025-02-11T00:00:00"/>
    <x v="0"/>
    <s v="South"/>
    <s v="Mobile"/>
    <s v="Organic"/>
    <x v="1"/>
  </r>
  <r>
    <x v="531"/>
    <d v="2025-02-13T00:00:00"/>
    <x v="0"/>
    <s v="West"/>
    <s v="Mobile"/>
    <s v="Organic"/>
    <x v="1"/>
  </r>
  <r>
    <x v="532"/>
    <d v="2025-04-07T00:00:00"/>
    <x v="0"/>
    <s v="South"/>
    <s v="Mobile"/>
    <s v="Paid Search"/>
    <x v="2"/>
  </r>
  <r>
    <x v="533"/>
    <d v="2025-03-08T00:00:00"/>
    <x v="0"/>
    <s v="East"/>
    <s v="Mobile"/>
    <s v="Email"/>
    <x v="1"/>
  </r>
  <r>
    <x v="534"/>
    <d v="2025-02-16T00:00:00"/>
    <x v="0"/>
    <s v="North"/>
    <s v="Desktop"/>
    <s v="Paid Search"/>
    <x v="1"/>
  </r>
  <r>
    <x v="535"/>
    <d v="2025-04-28T00:00:00"/>
    <x v="0"/>
    <s v="South"/>
    <s v="Mobile"/>
    <s v="Paid Search"/>
    <x v="2"/>
  </r>
  <r>
    <x v="536"/>
    <d v="2025-03-10T00:00:00"/>
    <x v="0"/>
    <s v="West"/>
    <s v="Tablet"/>
    <s v="Social"/>
    <x v="0"/>
  </r>
  <r>
    <x v="537"/>
    <d v="2025-01-25T00:00:00"/>
    <x v="0"/>
    <s v="East"/>
    <s v="Mobile"/>
    <s v="Social"/>
    <x v="1"/>
  </r>
  <r>
    <x v="538"/>
    <d v="2025-01-11T00:00:00"/>
    <x v="0"/>
    <s v="West"/>
    <s v="Mobile"/>
    <s v="Paid Search"/>
    <x v="2"/>
  </r>
  <r>
    <x v="539"/>
    <d v="2025-03-31T00:00:00"/>
    <x v="0"/>
    <s v="West"/>
    <s v="Tablet"/>
    <s v="Paid Search"/>
    <x v="1"/>
  </r>
  <r>
    <x v="540"/>
    <d v="2025-05-22T00:00:00"/>
    <x v="0"/>
    <s v="North"/>
    <s v="Mobile"/>
    <s v="Paid Search"/>
    <x v="0"/>
  </r>
  <r>
    <x v="541"/>
    <d v="2025-05-16T00:00:00"/>
    <x v="0"/>
    <s v="North"/>
    <s v="Mobile"/>
    <s v="Referral"/>
    <x v="0"/>
  </r>
  <r>
    <x v="542"/>
    <d v="2025-04-25T00:00:00"/>
    <x v="0"/>
    <s v="East"/>
    <s v="Desktop"/>
    <s v="Paid Search"/>
    <x v="1"/>
  </r>
  <r>
    <x v="543"/>
    <d v="2025-04-17T00:00:00"/>
    <x v="0"/>
    <s v="East"/>
    <s v="Mobile"/>
    <s v="Social"/>
    <x v="2"/>
  </r>
  <r>
    <x v="544"/>
    <d v="2025-01-01T00:00:00"/>
    <x v="0"/>
    <s v="South"/>
    <s v="Desktop"/>
    <s v="Social"/>
    <x v="0"/>
  </r>
  <r>
    <x v="545"/>
    <d v="2025-03-18T00:00:00"/>
    <x v="0"/>
    <s v="East"/>
    <s v="Mobile"/>
    <s v="Paid Search"/>
    <x v="0"/>
  </r>
  <r>
    <x v="546"/>
    <d v="2025-05-20T00:00:00"/>
    <x v="0"/>
    <s v="North"/>
    <s v="Tablet"/>
    <s v="Paid Search"/>
    <x v="1"/>
  </r>
  <r>
    <x v="547"/>
    <d v="2025-03-16T00:00:00"/>
    <x v="0"/>
    <s v="North"/>
    <s v="Mobile"/>
    <s v="Organic"/>
    <x v="0"/>
  </r>
  <r>
    <x v="548"/>
    <d v="2025-05-30T00:00:00"/>
    <x v="0"/>
    <s v="East"/>
    <s v="Desktop"/>
    <s v="Social"/>
    <x v="1"/>
  </r>
  <r>
    <x v="549"/>
    <d v="2025-02-20T00:00:00"/>
    <x v="0"/>
    <s v="North"/>
    <s v="Mobile"/>
    <s v="Social"/>
    <x v="2"/>
  </r>
  <r>
    <x v="550"/>
    <d v="2025-02-11T00:00:00"/>
    <x v="0"/>
    <s v="East"/>
    <m/>
    <s v="Social"/>
    <x v="1"/>
  </r>
  <r>
    <x v="551"/>
    <d v="2025-01-02T00:00:00"/>
    <x v="0"/>
    <s v="South"/>
    <s v="Tablet"/>
    <s v="Referral"/>
    <x v="0"/>
  </r>
  <r>
    <x v="552"/>
    <d v="2025-05-03T00:00:00"/>
    <x v="0"/>
    <s v="North"/>
    <s v="Mobile"/>
    <s v="Organic"/>
    <x v="1"/>
  </r>
  <r>
    <x v="553"/>
    <d v="2025-02-24T00:00:00"/>
    <x v="0"/>
    <s v="West"/>
    <s v="Mobile"/>
    <s v="Organic"/>
    <x v="1"/>
  </r>
  <r>
    <x v="554"/>
    <d v="2025-02-11T00:00:00"/>
    <x v="0"/>
    <s v="South"/>
    <m/>
    <s v="Organic"/>
    <x v="1"/>
  </r>
  <r>
    <x v="555"/>
    <d v="2025-05-06T00:00:00"/>
    <x v="0"/>
    <s v="South"/>
    <s v="Mobile"/>
    <s v="Social"/>
    <x v="0"/>
  </r>
  <r>
    <x v="556"/>
    <d v="2025-05-23T00:00:00"/>
    <x v="0"/>
    <s v="North"/>
    <s v="Mobile"/>
    <s v="Paid Search"/>
    <x v="2"/>
  </r>
  <r>
    <x v="557"/>
    <d v="2025-01-09T00:00:00"/>
    <x v="0"/>
    <s v="North"/>
    <s v="Desktop"/>
    <s v="Paid Search"/>
    <x v="1"/>
  </r>
  <r>
    <x v="558"/>
    <d v="2025-04-01T00:00:00"/>
    <x v="0"/>
    <s v="North"/>
    <s v="Desktop"/>
    <s v="Organic"/>
    <x v="2"/>
  </r>
  <r>
    <x v="559"/>
    <d v="2025-03-08T00:00:00"/>
    <x v="0"/>
    <s v="North"/>
    <s v="Mobile"/>
    <s v="Organic"/>
    <x v="1"/>
  </r>
  <r>
    <x v="560"/>
    <d v="2025-02-20T00:00:00"/>
    <x v="0"/>
    <s v="North"/>
    <s v="Mobile"/>
    <s v="Social"/>
    <x v="0"/>
  </r>
  <r>
    <x v="561"/>
    <d v="2025-03-30T00:00:00"/>
    <x v="0"/>
    <s v="East"/>
    <s v="Mobile"/>
    <s v="Social"/>
    <x v="0"/>
  </r>
  <r>
    <x v="562"/>
    <d v="2025-04-10T00:00:00"/>
    <x v="0"/>
    <s v="East"/>
    <s v="Desktop"/>
    <s v="Organic"/>
    <x v="0"/>
  </r>
  <r>
    <x v="563"/>
    <d v="2025-03-24T00:00:00"/>
    <x v="0"/>
    <s v="East"/>
    <s v="Mobile"/>
    <s v="Organic"/>
    <x v="2"/>
  </r>
  <r>
    <x v="564"/>
    <d v="2025-05-21T00:00:00"/>
    <x v="0"/>
    <s v="West"/>
    <s v="Mobile"/>
    <s v="Organic"/>
    <x v="0"/>
  </r>
  <r>
    <x v="565"/>
    <d v="2025-03-29T00:00:00"/>
    <x v="0"/>
    <s v="East"/>
    <s v="Mobile"/>
    <s v="Social"/>
    <x v="2"/>
  </r>
  <r>
    <x v="566"/>
    <d v="2025-02-23T00:00:00"/>
    <x v="0"/>
    <s v="North"/>
    <s v="Tablet"/>
    <s v="Referral"/>
    <x v="0"/>
  </r>
  <r>
    <x v="567"/>
    <d v="2025-02-16T00:00:00"/>
    <x v="0"/>
    <s v="West"/>
    <s v="Mobile"/>
    <s v="Paid Search"/>
    <x v="2"/>
  </r>
  <r>
    <x v="568"/>
    <d v="2025-02-21T00:00:00"/>
    <x v="0"/>
    <s v="West"/>
    <s v="Desktop"/>
    <s v="Organic"/>
    <x v="0"/>
  </r>
  <r>
    <x v="569"/>
    <d v="2025-01-07T00:00:00"/>
    <x v="0"/>
    <s v="North"/>
    <s v="Mobile"/>
    <s v="Referral"/>
    <x v="1"/>
  </r>
  <r>
    <x v="570"/>
    <d v="2025-03-06T00:00:00"/>
    <x v="0"/>
    <s v="West"/>
    <s v="Mobile"/>
    <s v="Paid Search"/>
    <x v="1"/>
  </r>
  <r>
    <x v="571"/>
    <d v="2025-03-30T00:00:00"/>
    <x v="0"/>
    <s v="East"/>
    <s v="Mobile"/>
    <s v="Email"/>
    <x v="0"/>
  </r>
  <r>
    <x v="572"/>
    <d v="2025-05-31T00:00:00"/>
    <x v="0"/>
    <s v="South"/>
    <s v="Desktop"/>
    <s v="Organic"/>
    <x v="1"/>
  </r>
  <r>
    <x v="573"/>
    <d v="2025-02-20T00:00:00"/>
    <x v="0"/>
    <s v="South"/>
    <s v="Mobile"/>
    <s v="Email"/>
    <x v="1"/>
  </r>
  <r>
    <x v="574"/>
    <d v="2025-01-13T00:00:00"/>
    <x v="0"/>
    <s v="West"/>
    <s v="Mobile"/>
    <s v="Social"/>
    <x v="1"/>
  </r>
  <r>
    <x v="575"/>
    <d v="2025-05-13T00:00:00"/>
    <x v="0"/>
    <s v="East"/>
    <s v="Desktop"/>
    <s v="Paid Search"/>
    <x v="0"/>
  </r>
  <r>
    <x v="576"/>
    <d v="2025-04-21T00:00:00"/>
    <x v="0"/>
    <s v="South"/>
    <s v="Tablet"/>
    <s v="Organic"/>
    <x v="1"/>
  </r>
  <r>
    <x v="577"/>
    <d v="2025-03-01T00:00:00"/>
    <x v="0"/>
    <s v="East"/>
    <s v="Tablet"/>
    <s v="Organic"/>
    <x v="2"/>
  </r>
  <r>
    <x v="578"/>
    <d v="2025-03-10T00:00:00"/>
    <x v="0"/>
    <s v="West"/>
    <s v="Tablet"/>
    <s v="Organic"/>
    <x v="1"/>
  </r>
  <r>
    <x v="579"/>
    <d v="2025-03-08T00:00:00"/>
    <x v="0"/>
    <s v="East"/>
    <s v="Desktop"/>
    <s v="Paid Search"/>
    <x v="1"/>
  </r>
  <r>
    <x v="580"/>
    <d v="2025-05-26T00:00:00"/>
    <x v="0"/>
    <s v="South"/>
    <s v="Desktop"/>
    <s v="Paid Search"/>
    <x v="1"/>
  </r>
  <r>
    <x v="581"/>
    <d v="2025-05-20T00:00:00"/>
    <x v="0"/>
    <s v="East"/>
    <s v="Desktop"/>
    <s v="Paid Search"/>
    <x v="1"/>
  </r>
  <r>
    <x v="582"/>
    <d v="2025-03-22T00:00:00"/>
    <x v="0"/>
    <s v="West"/>
    <s v="Desktop"/>
    <s v="Paid Search"/>
    <x v="1"/>
  </r>
  <r>
    <x v="583"/>
    <d v="2025-02-15T00:00:00"/>
    <x v="0"/>
    <s v="South"/>
    <s v="Desktop"/>
    <s v="Paid Search"/>
    <x v="1"/>
  </r>
  <r>
    <x v="584"/>
    <d v="2025-01-08T00:00:00"/>
    <x v="0"/>
    <s v="North"/>
    <s v="Mobile"/>
    <s v="Social"/>
    <x v="1"/>
  </r>
  <r>
    <x v="585"/>
    <d v="2025-01-29T00:00:00"/>
    <x v="0"/>
    <s v="South"/>
    <s v="Mobile"/>
    <s v="Organic"/>
    <x v="2"/>
  </r>
  <r>
    <x v="586"/>
    <d v="2025-05-07T00:00:00"/>
    <x v="0"/>
    <s v="East"/>
    <s v="Tablet"/>
    <s v="Organic"/>
    <x v="1"/>
  </r>
  <r>
    <x v="587"/>
    <d v="2025-03-01T00:00:00"/>
    <x v="0"/>
    <s v="North"/>
    <s v="Mobile"/>
    <s v="Social"/>
    <x v="0"/>
  </r>
  <r>
    <x v="588"/>
    <d v="2025-04-20T00:00:00"/>
    <x v="0"/>
    <s v="East"/>
    <s v="Mobile"/>
    <s v="Organic"/>
    <x v="1"/>
  </r>
  <r>
    <x v="589"/>
    <d v="2025-01-16T00:00:00"/>
    <x v="0"/>
    <s v="East"/>
    <s v="Mobile"/>
    <s v="Organic"/>
    <x v="2"/>
  </r>
  <r>
    <x v="590"/>
    <d v="2025-04-04T00:00:00"/>
    <x v="0"/>
    <s v="East"/>
    <s v="Mobile"/>
    <s v="Paid Search"/>
    <x v="1"/>
  </r>
  <r>
    <x v="591"/>
    <d v="2025-01-29T00:00:00"/>
    <x v="0"/>
    <s v="North"/>
    <s v="Tablet"/>
    <s v="Social"/>
    <x v="1"/>
  </r>
  <r>
    <x v="592"/>
    <d v="2025-04-19T00:00:00"/>
    <x v="0"/>
    <s v="East"/>
    <s v="Mobile"/>
    <s v="Email"/>
    <x v="1"/>
  </r>
  <r>
    <x v="593"/>
    <d v="2025-03-10T00:00:00"/>
    <x v="0"/>
    <s v="South"/>
    <s v="Mobile"/>
    <s v="Social"/>
    <x v="0"/>
  </r>
  <r>
    <x v="594"/>
    <d v="2025-05-10T00:00:00"/>
    <x v="0"/>
    <s v="South"/>
    <s v="Mobile"/>
    <s v="Social"/>
    <x v="0"/>
  </r>
  <r>
    <x v="595"/>
    <d v="2025-02-02T00:00:00"/>
    <x v="0"/>
    <s v="North"/>
    <s v="Mobile"/>
    <s v="Social"/>
    <x v="1"/>
  </r>
  <r>
    <x v="596"/>
    <d v="2025-05-06T00:00:00"/>
    <x v="0"/>
    <s v="North"/>
    <s v="Desktop"/>
    <s v="Organic"/>
    <x v="1"/>
  </r>
  <r>
    <x v="597"/>
    <d v="2025-01-19T00:00:00"/>
    <x v="0"/>
    <s v="West"/>
    <s v="Desktop"/>
    <s v="Organic"/>
    <x v="1"/>
  </r>
  <r>
    <x v="598"/>
    <d v="2025-01-02T00:00:00"/>
    <x v="0"/>
    <s v="North"/>
    <s v="Mobile"/>
    <s v="Organic"/>
    <x v="1"/>
  </r>
  <r>
    <x v="599"/>
    <d v="2025-05-03T00:00:00"/>
    <x v="0"/>
    <s v="South"/>
    <s v="Desktop"/>
    <s v="Paid Search"/>
    <x v="1"/>
  </r>
  <r>
    <x v="600"/>
    <d v="2025-05-27T00:00:00"/>
    <x v="0"/>
    <s v="East"/>
    <s v="Desktop"/>
    <s v="Referral"/>
    <x v="2"/>
  </r>
  <r>
    <x v="601"/>
    <d v="2025-02-09T00:00:00"/>
    <x v="0"/>
    <s v="South"/>
    <s v="Desktop"/>
    <s v="Social"/>
    <x v="1"/>
  </r>
  <r>
    <x v="602"/>
    <d v="2025-05-18T00:00:00"/>
    <x v="0"/>
    <s v="East"/>
    <s v="Mobile"/>
    <s v="Paid Search"/>
    <x v="1"/>
  </r>
  <r>
    <x v="603"/>
    <d v="2025-05-17T00:00:00"/>
    <x v="0"/>
    <s v="North"/>
    <s v="Mobile"/>
    <s v="Email"/>
    <x v="1"/>
  </r>
  <r>
    <x v="604"/>
    <d v="2025-01-25T00:00:00"/>
    <x v="0"/>
    <s v="East"/>
    <s v="Desktop"/>
    <s v="Referral"/>
    <x v="0"/>
  </r>
  <r>
    <x v="605"/>
    <d v="2025-05-04T00:00:00"/>
    <x v="0"/>
    <s v="West"/>
    <s v="Mobile"/>
    <s v="Paid Search"/>
    <x v="2"/>
  </r>
  <r>
    <x v="606"/>
    <d v="2025-04-14T00:00:00"/>
    <x v="0"/>
    <s v="West"/>
    <s v="Mobile"/>
    <s v="Organic"/>
    <x v="1"/>
  </r>
  <r>
    <x v="607"/>
    <d v="2025-04-18T00:00:00"/>
    <x v="0"/>
    <s v="South"/>
    <s v="Mobile"/>
    <s v="Paid Search"/>
    <x v="1"/>
  </r>
  <r>
    <x v="608"/>
    <d v="2025-02-24T00:00:00"/>
    <x v="0"/>
    <s v="South"/>
    <s v="Desktop"/>
    <s v="Email"/>
    <x v="0"/>
  </r>
  <r>
    <x v="609"/>
    <d v="2025-04-19T00:00:00"/>
    <x v="0"/>
    <s v="North"/>
    <s v="Tablet"/>
    <s v="Paid Search"/>
    <x v="1"/>
  </r>
  <r>
    <x v="610"/>
    <d v="2025-03-07T00:00:00"/>
    <x v="0"/>
    <s v="South"/>
    <s v="Desktop"/>
    <s v="Organic"/>
    <x v="0"/>
  </r>
  <r>
    <x v="611"/>
    <d v="2025-03-09T00:00:00"/>
    <x v="0"/>
    <s v="East"/>
    <s v="Mobile"/>
    <s v="Organic"/>
    <x v="0"/>
  </r>
  <r>
    <x v="612"/>
    <d v="2025-05-01T00:00:00"/>
    <x v="0"/>
    <s v="South"/>
    <s v="Desktop"/>
    <s v="Organic"/>
    <x v="0"/>
  </r>
  <r>
    <x v="613"/>
    <d v="2025-02-09T00:00:00"/>
    <x v="0"/>
    <s v="West"/>
    <s v="Desktop"/>
    <s v="Organic"/>
    <x v="2"/>
  </r>
  <r>
    <x v="614"/>
    <d v="2025-05-22T00:00:00"/>
    <x v="0"/>
    <s v="West"/>
    <s v="Mobile"/>
    <s v="Referral"/>
    <x v="2"/>
  </r>
  <r>
    <x v="615"/>
    <d v="2025-02-11T00:00:00"/>
    <x v="0"/>
    <s v="North"/>
    <s v="Mobile"/>
    <s v="Organic"/>
    <x v="2"/>
  </r>
  <r>
    <x v="616"/>
    <d v="2025-04-12T00:00:00"/>
    <x v="0"/>
    <s v="North"/>
    <s v="Mobile"/>
    <s v="Referral"/>
    <x v="0"/>
  </r>
  <r>
    <x v="617"/>
    <d v="2025-03-01T00:00:00"/>
    <x v="0"/>
    <s v="West"/>
    <s v="Mobile"/>
    <s v="Social"/>
    <x v="1"/>
  </r>
  <r>
    <x v="618"/>
    <d v="2025-03-17T00:00:00"/>
    <x v="0"/>
    <s v="West"/>
    <s v="Desktop"/>
    <s v="Email"/>
    <x v="0"/>
  </r>
  <r>
    <x v="619"/>
    <d v="2025-01-11T00:00:00"/>
    <x v="0"/>
    <s v="North"/>
    <s v="Mobile"/>
    <s v="Paid Search"/>
    <x v="1"/>
  </r>
  <r>
    <x v="620"/>
    <d v="2025-02-17T00:00:00"/>
    <x v="0"/>
    <s v="South"/>
    <s v="Mobile"/>
    <s v="Social"/>
    <x v="2"/>
  </r>
  <r>
    <x v="621"/>
    <d v="2025-03-25T00:00:00"/>
    <x v="0"/>
    <s v="East"/>
    <s v="Mobile"/>
    <s v="Paid Search"/>
    <x v="0"/>
  </r>
  <r>
    <x v="622"/>
    <d v="2025-05-01T00:00:00"/>
    <x v="0"/>
    <s v="South"/>
    <s v="Mobile"/>
    <s v="Paid Search"/>
    <x v="1"/>
  </r>
  <r>
    <x v="623"/>
    <d v="2025-04-02T00:00:00"/>
    <x v="0"/>
    <s v="East"/>
    <s v="Mobile"/>
    <s v="Organic"/>
    <x v="0"/>
  </r>
  <r>
    <x v="624"/>
    <d v="2025-04-05T00:00:00"/>
    <x v="0"/>
    <s v="East"/>
    <s v="Mobile"/>
    <s v="Email"/>
    <x v="1"/>
  </r>
  <r>
    <x v="625"/>
    <d v="2025-02-24T00:00:00"/>
    <x v="0"/>
    <s v="North"/>
    <s v="Desktop"/>
    <s v="Social"/>
    <x v="1"/>
  </r>
  <r>
    <x v="626"/>
    <d v="2025-01-24T00:00:00"/>
    <x v="0"/>
    <s v="West"/>
    <s v="Mobile"/>
    <s v="Paid Search"/>
    <x v="0"/>
  </r>
  <r>
    <x v="627"/>
    <d v="2025-04-10T00:00:00"/>
    <x v="0"/>
    <s v="South"/>
    <s v="Mobile"/>
    <s v="Paid Search"/>
    <x v="1"/>
  </r>
  <r>
    <x v="628"/>
    <d v="2025-02-19T00:00:00"/>
    <x v="0"/>
    <s v="South"/>
    <s v="Mobile"/>
    <s v="Referral"/>
    <x v="1"/>
  </r>
  <r>
    <x v="629"/>
    <d v="2025-03-22T00:00:00"/>
    <x v="0"/>
    <s v="North"/>
    <s v="Mobile"/>
    <s v="Social"/>
    <x v="1"/>
  </r>
  <r>
    <x v="630"/>
    <d v="2025-04-08T00:00:00"/>
    <x v="0"/>
    <s v="East"/>
    <s v="Desktop"/>
    <s v="Organic"/>
    <x v="2"/>
  </r>
  <r>
    <x v="631"/>
    <d v="2025-03-16T00:00:00"/>
    <x v="0"/>
    <s v="North"/>
    <s v="Mobile"/>
    <s v="Social"/>
    <x v="1"/>
  </r>
  <r>
    <x v="632"/>
    <d v="2025-03-07T00:00:00"/>
    <x v="0"/>
    <s v="East"/>
    <s v="Mobile"/>
    <s v="Paid Search"/>
    <x v="1"/>
  </r>
  <r>
    <x v="633"/>
    <d v="2025-03-16T00:00:00"/>
    <x v="0"/>
    <s v="South"/>
    <s v="Mobile"/>
    <s v="Referral"/>
    <x v="0"/>
  </r>
  <r>
    <x v="634"/>
    <d v="2025-05-26T00:00:00"/>
    <x v="0"/>
    <s v="East"/>
    <s v="Mobile"/>
    <m/>
    <x v="2"/>
  </r>
  <r>
    <x v="635"/>
    <d v="2025-01-14T00:00:00"/>
    <x v="0"/>
    <s v="West"/>
    <s v="Mobile"/>
    <s v="Organic"/>
    <x v="1"/>
  </r>
  <r>
    <x v="636"/>
    <d v="2025-03-30T00:00:00"/>
    <x v="0"/>
    <s v="West"/>
    <s v="Mobile"/>
    <s v="Paid Search"/>
    <x v="2"/>
  </r>
  <r>
    <x v="637"/>
    <d v="2025-05-12T00:00:00"/>
    <x v="0"/>
    <s v="East"/>
    <s v="Desktop"/>
    <s v="Email"/>
    <x v="1"/>
  </r>
  <r>
    <x v="638"/>
    <d v="2025-05-10T00:00:00"/>
    <x v="0"/>
    <s v="West"/>
    <s v="Mobile"/>
    <s v="Paid Search"/>
    <x v="1"/>
  </r>
  <r>
    <x v="639"/>
    <d v="2025-04-09T00:00:00"/>
    <x v="0"/>
    <s v="East"/>
    <s v="Mobile"/>
    <s v="Social"/>
    <x v="0"/>
  </r>
  <r>
    <x v="640"/>
    <d v="2025-05-26T00:00:00"/>
    <x v="0"/>
    <s v="North"/>
    <s v="Mobile"/>
    <s v="Social"/>
    <x v="1"/>
  </r>
  <r>
    <x v="641"/>
    <d v="2025-02-12T00:00:00"/>
    <x v="0"/>
    <s v="North"/>
    <s v="Mobile"/>
    <s v="Organic"/>
    <x v="1"/>
  </r>
  <r>
    <x v="642"/>
    <d v="2025-04-01T00:00:00"/>
    <x v="0"/>
    <s v="North"/>
    <s v="Desktop"/>
    <s v="Email"/>
    <x v="0"/>
  </r>
  <r>
    <x v="643"/>
    <d v="2025-01-18T00:00:00"/>
    <x v="0"/>
    <s v="South"/>
    <s v="Desktop"/>
    <s v="Organic"/>
    <x v="0"/>
  </r>
  <r>
    <x v="644"/>
    <d v="2025-04-06T00:00:00"/>
    <x v="0"/>
    <s v="East"/>
    <s v="Tablet"/>
    <s v="Organic"/>
    <x v="1"/>
  </r>
  <r>
    <x v="645"/>
    <d v="2025-04-17T00:00:00"/>
    <x v="0"/>
    <s v="East"/>
    <s v="Mobile"/>
    <s v="Organic"/>
    <x v="1"/>
  </r>
  <r>
    <x v="646"/>
    <d v="2025-02-07T00:00:00"/>
    <x v="0"/>
    <s v="North"/>
    <s v="Desktop"/>
    <s v="Paid Search"/>
    <x v="1"/>
  </r>
  <r>
    <x v="647"/>
    <d v="2025-03-04T00:00:00"/>
    <x v="0"/>
    <s v="East"/>
    <s v="Mobile"/>
    <s v="Organic"/>
    <x v="0"/>
  </r>
  <r>
    <x v="648"/>
    <d v="2025-02-17T00:00:00"/>
    <x v="0"/>
    <s v="North"/>
    <s v="Desktop"/>
    <s v="Organic"/>
    <x v="2"/>
  </r>
  <r>
    <x v="649"/>
    <d v="2025-05-06T00:00:00"/>
    <x v="0"/>
    <s v="South"/>
    <s v="Mobile"/>
    <s v="Referral"/>
    <x v="1"/>
  </r>
  <r>
    <x v="650"/>
    <d v="2025-03-25T00:00:00"/>
    <x v="0"/>
    <s v="South"/>
    <s v="Mobile"/>
    <s v="Referral"/>
    <x v="2"/>
  </r>
  <r>
    <x v="651"/>
    <d v="2025-03-04T00:00:00"/>
    <x v="0"/>
    <s v="West"/>
    <s v="Mobile"/>
    <s v="Email"/>
    <x v="2"/>
  </r>
  <r>
    <x v="652"/>
    <d v="2025-05-09T00:00:00"/>
    <x v="0"/>
    <s v="West"/>
    <s v="Mobile"/>
    <s v="Organic"/>
    <x v="1"/>
  </r>
  <r>
    <x v="653"/>
    <d v="2025-05-17T00:00:00"/>
    <x v="0"/>
    <s v="West"/>
    <s v="Mobile"/>
    <s v="Referral"/>
    <x v="2"/>
  </r>
  <r>
    <x v="654"/>
    <d v="2025-01-12T00:00:00"/>
    <x v="0"/>
    <s v="West"/>
    <s v="Mobile"/>
    <s v="Organic"/>
    <x v="1"/>
  </r>
  <r>
    <x v="655"/>
    <d v="2025-03-12T00:00:00"/>
    <x v="0"/>
    <s v="West"/>
    <s v="Mobile"/>
    <s v="Organic"/>
    <x v="2"/>
  </r>
  <r>
    <x v="656"/>
    <d v="2025-04-02T00:00:00"/>
    <x v="0"/>
    <s v="South"/>
    <s v="Mobile"/>
    <s v="Organic"/>
    <x v="0"/>
  </r>
  <r>
    <x v="657"/>
    <d v="2025-01-13T00:00:00"/>
    <x v="0"/>
    <s v="South"/>
    <s v="Mobile"/>
    <s v="Organic"/>
    <x v="0"/>
  </r>
  <r>
    <x v="658"/>
    <d v="2025-03-07T00:00:00"/>
    <x v="0"/>
    <s v="East"/>
    <s v="Mobile"/>
    <s v="Referral"/>
    <x v="1"/>
  </r>
  <r>
    <x v="659"/>
    <d v="2025-04-20T00:00:00"/>
    <x v="0"/>
    <s v="South"/>
    <s v="Desktop"/>
    <s v="Social"/>
    <x v="1"/>
  </r>
  <r>
    <x v="660"/>
    <d v="2025-01-07T00:00:00"/>
    <x v="0"/>
    <s v="South"/>
    <s v="Mobile"/>
    <s v="Paid Search"/>
    <x v="1"/>
  </r>
  <r>
    <x v="661"/>
    <d v="2025-04-23T00:00:00"/>
    <x v="0"/>
    <s v="South"/>
    <s v="Mobile"/>
    <s v="Referral"/>
    <x v="1"/>
  </r>
  <r>
    <x v="662"/>
    <d v="2025-05-26T00:00:00"/>
    <x v="0"/>
    <s v="North"/>
    <s v="Mobile"/>
    <s v="Paid Search"/>
    <x v="0"/>
  </r>
  <r>
    <x v="663"/>
    <d v="2025-03-17T00:00:00"/>
    <x v="0"/>
    <s v="North"/>
    <s v="Desktop"/>
    <s v="Social"/>
    <x v="0"/>
  </r>
  <r>
    <x v="664"/>
    <d v="2025-05-17T00:00:00"/>
    <x v="0"/>
    <s v="North"/>
    <s v="Desktop"/>
    <s v="Paid Search"/>
    <x v="0"/>
  </r>
  <r>
    <x v="665"/>
    <d v="2025-02-21T00:00:00"/>
    <x v="0"/>
    <s v="North"/>
    <s v="Mobile"/>
    <s v="Paid Search"/>
    <x v="0"/>
  </r>
  <r>
    <x v="666"/>
    <d v="2025-02-25T00:00:00"/>
    <x v="0"/>
    <s v="East"/>
    <s v="Desktop"/>
    <s v="Paid Search"/>
    <x v="2"/>
  </r>
  <r>
    <x v="667"/>
    <d v="2025-01-30T00:00:00"/>
    <x v="0"/>
    <s v="South"/>
    <s v="Mobile"/>
    <s v="Social"/>
    <x v="1"/>
  </r>
  <r>
    <x v="668"/>
    <d v="2025-02-17T00:00:00"/>
    <x v="0"/>
    <s v="North"/>
    <s v="Tablet"/>
    <s v="Social"/>
    <x v="0"/>
  </r>
  <r>
    <x v="669"/>
    <d v="2025-05-17T00:00:00"/>
    <x v="0"/>
    <s v="North"/>
    <s v="Desktop"/>
    <s v="Paid Search"/>
    <x v="0"/>
  </r>
  <r>
    <x v="670"/>
    <d v="2025-04-30T00:00:00"/>
    <x v="0"/>
    <s v="East"/>
    <s v="Desktop"/>
    <s v="Paid Search"/>
    <x v="1"/>
  </r>
  <r>
    <x v="671"/>
    <d v="2025-03-22T00:00:00"/>
    <x v="0"/>
    <s v="West"/>
    <s v="Mobile"/>
    <s v="Referral"/>
    <x v="1"/>
  </r>
  <r>
    <x v="672"/>
    <d v="2025-01-10T00:00:00"/>
    <x v="0"/>
    <s v="West"/>
    <m/>
    <s v="Paid Search"/>
    <x v="1"/>
  </r>
  <r>
    <x v="673"/>
    <d v="2025-03-21T00:00:00"/>
    <x v="0"/>
    <s v="South"/>
    <m/>
    <s v="Paid Search"/>
    <x v="1"/>
  </r>
  <r>
    <x v="674"/>
    <d v="2025-05-12T00:00:00"/>
    <x v="0"/>
    <s v="North"/>
    <s v="Desktop"/>
    <s v="Paid Search"/>
    <x v="0"/>
  </r>
  <r>
    <x v="675"/>
    <d v="2025-05-24T00:00:00"/>
    <x v="0"/>
    <s v="West"/>
    <s v="Mobile"/>
    <s v="Paid Search"/>
    <x v="1"/>
  </r>
  <r>
    <x v="676"/>
    <d v="2025-05-03T00:00:00"/>
    <x v="0"/>
    <s v="West"/>
    <s v="Tablet"/>
    <s v="Organic"/>
    <x v="1"/>
  </r>
  <r>
    <x v="677"/>
    <d v="2025-01-14T00:00:00"/>
    <x v="0"/>
    <s v="South"/>
    <s v="Mobile"/>
    <s v="Organic"/>
    <x v="0"/>
  </r>
  <r>
    <x v="678"/>
    <d v="2025-03-27T00:00:00"/>
    <x v="0"/>
    <s v="West"/>
    <s v="Mobile"/>
    <s v="Social"/>
    <x v="0"/>
  </r>
  <r>
    <x v="679"/>
    <d v="2025-02-28T00:00:00"/>
    <x v="0"/>
    <s v="North"/>
    <s v="Desktop"/>
    <s v="Referral"/>
    <x v="2"/>
  </r>
  <r>
    <x v="680"/>
    <d v="2025-05-12T00:00:00"/>
    <x v="0"/>
    <s v="West"/>
    <s v="Desktop"/>
    <s v="Referral"/>
    <x v="2"/>
  </r>
  <r>
    <x v="681"/>
    <d v="2025-03-14T00:00:00"/>
    <x v="0"/>
    <s v="North"/>
    <s v="Mobile"/>
    <s v="Organic"/>
    <x v="1"/>
  </r>
  <r>
    <x v="682"/>
    <d v="2025-05-20T00:00:00"/>
    <x v="0"/>
    <s v="East"/>
    <s v="Mobile"/>
    <s v="Organic"/>
    <x v="0"/>
  </r>
  <r>
    <x v="683"/>
    <d v="2025-02-24T00:00:00"/>
    <x v="0"/>
    <s v="South"/>
    <s v="Desktop"/>
    <s v="Referral"/>
    <x v="1"/>
  </r>
  <r>
    <x v="684"/>
    <d v="2025-02-13T00:00:00"/>
    <x v="0"/>
    <s v="West"/>
    <s v="Mobile"/>
    <s v="Organic"/>
    <x v="2"/>
  </r>
  <r>
    <x v="685"/>
    <d v="2025-02-06T00:00:00"/>
    <x v="0"/>
    <s v="South"/>
    <s v="Desktop"/>
    <s v="Organic"/>
    <x v="1"/>
  </r>
  <r>
    <x v="686"/>
    <d v="2025-03-02T00:00:00"/>
    <x v="0"/>
    <s v="North"/>
    <s v="Mobile"/>
    <s v="Social"/>
    <x v="0"/>
  </r>
  <r>
    <x v="687"/>
    <d v="2025-04-28T00:00:00"/>
    <x v="0"/>
    <s v="East"/>
    <s v="Desktop"/>
    <s v="Paid Search"/>
    <x v="1"/>
  </r>
  <r>
    <x v="688"/>
    <d v="2025-05-27T00:00:00"/>
    <x v="0"/>
    <s v="North"/>
    <s v="Desktop"/>
    <m/>
    <x v="2"/>
  </r>
  <r>
    <x v="689"/>
    <d v="2025-04-07T00:00:00"/>
    <x v="0"/>
    <s v="South"/>
    <s v="Desktop"/>
    <s v="Organic"/>
    <x v="0"/>
  </r>
  <r>
    <x v="690"/>
    <d v="2025-04-14T00:00:00"/>
    <x v="1"/>
    <s v="East"/>
    <s v="Desktop"/>
    <s v="Social"/>
    <x v="0"/>
  </r>
  <r>
    <x v="691"/>
    <d v="2025-05-09T00:00:00"/>
    <x v="1"/>
    <s v="East"/>
    <s v="Desktop"/>
    <s v="Organic"/>
    <x v="0"/>
  </r>
  <r>
    <x v="692"/>
    <d v="2025-03-21T00:00:00"/>
    <x v="1"/>
    <s v="North"/>
    <s v="Mobile"/>
    <s v="Organic"/>
    <x v="1"/>
  </r>
  <r>
    <x v="693"/>
    <d v="2025-03-27T00:00:00"/>
    <x v="1"/>
    <s v="North"/>
    <s v="Desktop"/>
    <s v="Social"/>
    <x v="1"/>
  </r>
  <r>
    <x v="694"/>
    <d v="2025-01-21T00:00:00"/>
    <x v="1"/>
    <s v="South"/>
    <s v="Mobile"/>
    <s v="Paid Search"/>
    <x v="1"/>
  </r>
  <r>
    <x v="695"/>
    <d v="2025-03-19T00:00:00"/>
    <x v="1"/>
    <s v="East"/>
    <s v="Desktop"/>
    <s v="Email"/>
    <x v="1"/>
  </r>
  <r>
    <x v="696"/>
    <d v="2025-05-27T00:00:00"/>
    <x v="1"/>
    <s v="North"/>
    <s v="Mobile"/>
    <s v="Organic"/>
    <x v="0"/>
  </r>
  <r>
    <x v="697"/>
    <d v="2025-01-01T00:00:00"/>
    <x v="1"/>
    <s v="North"/>
    <s v="Mobile"/>
    <s v="Social"/>
    <x v="1"/>
  </r>
  <r>
    <x v="698"/>
    <d v="2025-03-29T00:00:00"/>
    <x v="1"/>
    <s v="West"/>
    <s v="Desktop"/>
    <s v="Paid Search"/>
    <x v="2"/>
  </r>
  <r>
    <x v="699"/>
    <d v="2025-03-17T00:00:00"/>
    <x v="1"/>
    <s v="West"/>
    <s v="Desktop"/>
    <s v="Organic"/>
    <x v="0"/>
  </r>
  <r>
    <x v="700"/>
    <d v="2025-05-05T00:00:00"/>
    <x v="1"/>
    <s v="North"/>
    <s v="Mobile"/>
    <s v="Organic"/>
    <x v="1"/>
  </r>
  <r>
    <x v="701"/>
    <d v="2025-05-04T00:00:00"/>
    <x v="1"/>
    <s v="South"/>
    <s v="Mobile"/>
    <s v="Social"/>
    <x v="1"/>
  </r>
  <r>
    <x v="702"/>
    <d v="2025-03-25T00:00:00"/>
    <x v="1"/>
    <s v="North"/>
    <s v="Mobile"/>
    <s v="Social"/>
    <x v="2"/>
  </r>
  <r>
    <x v="703"/>
    <d v="2025-04-17T00:00:00"/>
    <x v="1"/>
    <s v="West"/>
    <s v="Mobile"/>
    <s v="Email"/>
    <x v="1"/>
  </r>
  <r>
    <x v="704"/>
    <d v="2025-05-23T00:00:00"/>
    <x v="1"/>
    <s v="South"/>
    <s v="Mobile"/>
    <s v="Referral"/>
    <x v="0"/>
  </r>
  <r>
    <x v="705"/>
    <d v="2025-01-13T00:00:00"/>
    <x v="1"/>
    <s v="North"/>
    <s v="Mobile"/>
    <s v="Organic"/>
    <x v="0"/>
  </r>
  <r>
    <x v="706"/>
    <d v="2025-01-29T00:00:00"/>
    <x v="1"/>
    <s v="North"/>
    <s v="Desktop"/>
    <s v="Organic"/>
    <x v="0"/>
  </r>
  <r>
    <x v="707"/>
    <d v="2025-05-11T00:00:00"/>
    <x v="1"/>
    <s v="South"/>
    <s v="Mobile"/>
    <s v="Email"/>
    <x v="1"/>
  </r>
  <r>
    <x v="708"/>
    <d v="2025-04-22T00:00:00"/>
    <x v="1"/>
    <s v="South"/>
    <s v="Mobile"/>
    <s v="Organic"/>
    <x v="0"/>
  </r>
  <r>
    <x v="709"/>
    <d v="2025-03-03T00:00:00"/>
    <x v="1"/>
    <s v="South"/>
    <s v="Mobile"/>
    <s v="Social"/>
    <x v="1"/>
  </r>
  <r>
    <x v="710"/>
    <d v="2025-03-18T00:00:00"/>
    <x v="1"/>
    <s v="North"/>
    <s v="Mobile"/>
    <s v="Referral"/>
    <x v="1"/>
  </r>
  <r>
    <x v="711"/>
    <d v="2025-04-05T00:00:00"/>
    <x v="1"/>
    <s v="North"/>
    <s v="Mobile"/>
    <s v="Organic"/>
    <x v="0"/>
  </r>
  <r>
    <x v="712"/>
    <d v="2025-04-16T00:00:00"/>
    <x v="1"/>
    <s v="East"/>
    <s v="Mobile"/>
    <s v="Organic"/>
    <x v="1"/>
  </r>
  <r>
    <x v="713"/>
    <d v="2025-04-20T00:00:00"/>
    <x v="1"/>
    <s v="South"/>
    <s v="Mobile"/>
    <s v="Referral"/>
    <x v="1"/>
  </r>
  <r>
    <x v="714"/>
    <d v="2025-02-15T00:00:00"/>
    <x v="1"/>
    <s v="South"/>
    <s v="Mobile"/>
    <s v="Organic"/>
    <x v="1"/>
  </r>
  <r>
    <x v="715"/>
    <d v="2025-01-21T00:00:00"/>
    <x v="1"/>
    <s v="South"/>
    <s v="Mobile"/>
    <s v="Organic"/>
    <x v="1"/>
  </r>
  <r>
    <x v="716"/>
    <d v="2025-05-23T00:00:00"/>
    <x v="1"/>
    <s v="North"/>
    <s v="Mobile"/>
    <s v="Paid Search"/>
    <x v="2"/>
  </r>
  <r>
    <x v="717"/>
    <d v="2025-01-22T00:00:00"/>
    <x v="1"/>
    <s v="West"/>
    <s v="Mobile"/>
    <s v="Paid Search"/>
    <x v="0"/>
  </r>
  <r>
    <x v="718"/>
    <d v="2025-04-24T00:00:00"/>
    <x v="1"/>
    <s v="West"/>
    <s v="Mobile"/>
    <s v="Paid Search"/>
    <x v="2"/>
  </r>
  <r>
    <x v="719"/>
    <d v="2025-01-17T00:00:00"/>
    <x v="1"/>
    <s v="West"/>
    <s v="Desktop"/>
    <s v="Email"/>
    <x v="1"/>
  </r>
  <r>
    <x v="720"/>
    <d v="2025-01-22T00:00:00"/>
    <x v="1"/>
    <s v="East"/>
    <s v="Mobile"/>
    <s v="Referral"/>
    <x v="0"/>
  </r>
  <r>
    <x v="721"/>
    <d v="2025-05-04T00:00:00"/>
    <x v="1"/>
    <s v="East"/>
    <s v="Desktop"/>
    <s v="Paid Search"/>
    <x v="1"/>
  </r>
  <r>
    <x v="722"/>
    <d v="2025-03-13T00:00:00"/>
    <x v="1"/>
    <s v="South"/>
    <s v="Mobile"/>
    <m/>
    <x v="1"/>
  </r>
  <r>
    <x v="723"/>
    <d v="2025-01-02T00:00:00"/>
    <x v="1"/>
    <s v="North"/>
    <s v="Mobile"/>
    <s v="Organic"/>
    <x v="0"/>
  </r>
  <r>
    <x v="724"/>
    <d v="2025-01-13T00:00:00"/>
    <x v="1"/>
    <s v="East"/>
    <s v="Mobile"/>
    <s v="Paid Search"/>
    <x v="0"/>
  </r>
  <r>
    <x v="725"/>
    <d v="2025-02-09T00:00:00"/>
    <x v="1"/>
    <s v="East"/>
    <s v="Mobile"/>
    <s v="Social"/>
    <x v="1"/>
  </r>
  <r>
    <x v="726"/>
    <d v="2025-04-09T00:00:00"/>
    <x v="1"/>
    <s v="East"/>
    <s v="Desktop"/>
    <s v="Social"/>
    <x v="1"/>
  </r>
  <r>
    <x v="727"/>
    <d v="2025-01-02T00:00:00"/>
    <x v="1"/>
    <s v="South"/>
    <s v="Mobile"/>
    <s v="Paid Search"/>
    <x v="1"/>
  </r>
  <r>
    <x v="728"/>
    <d v="2025-02-04T00:00:00"/>
    <x v="1"/>
    <s v="South"/>
    <s v="Mobile"/>
    <m/>
    <x v="2"/>
  </r>
  <r>
    <x v="729"/>
    <d v="2025-02-19T00:00:00"/>
    <x v="1"/>
    <s v="South"/>
    <s v="Tablet"/>
    <s v="Paid Search"/>
    <x v="1"/>
  </r>
  <r>
    <x v="730"/>
    <d v="2025-04-01T00:00:00"/>
    <x v="1"/>
    <s v="East"/>
    <s v="Mobile"/>
    <s v="Paid Search"/>
    <x v="0"/>
  </r>
  <r>
    <x v="731"/>
    <d v="2025-01-29T00:00:00"/>
    <x v="1"/>
    <s v="North"/>
    <s v="Mobile"/>
    <s v="Referral"/>
    <x v="1"/>
  </r>
  <r>
    <x v="732"/>
    <d v="2025-05-18T00:00:00"/>
    <x v="1"/>
    <s v="North"/>
    <s v="Mobile"/>
    <s v="Referral"/>
    <x v="0"/>
  </r>
  <r>
    <x v="733"/>
    <d v="2025-04-15T00:00:00"/>
    <x v="1"/>
    <s v="East"/>
    <s v="Desktop"/>
    <s v="Social"/>
    <x v="2"/>
  </r>
  <r>
    <x v="734"/>
    <d v="2025-03-28T00:00:00"/>
    <x v="1"/>
    <s v="East"/>
    <s v="Desktop"/>
    <s v="Email"/>
    <x v="1"/>
  </r>
  <r>
    <x v="735"/>
    <d v="2025-04-01T00:00:00"/>
    <x v="1"/>
    <s v="West"/>
    <s v="Mobile"/>
    <s v="Paid Search"/>
    <x v="0"/>
  </r>
  <r>
    <x v="736"/>
    <d v="2025-02-11T00:00:00"/>
    <x v="1"/>
    <s v="West"/>
    <s v="Mobile"/>
    <s v="Social"/>
    <x v="0"/>
  </r>
  <r>
    <x v="737"/>
    <d v="2025-03-04T00:00:00"/>
    <x v="1"/>
    <s v="South"/>
    <s v="Mobile"/>
    <s v="Organic"/>
    <x v="1"/>
  </r>
  <r>
    <x v="738"/>
    <d v="2025-01-21T00:00:00"/>
    <x v="1"/>
    <s v="North"/>
    <s v="Tablet"/>
    <s v="Social"/>
    <x v="0"/>
  </r>
  <r>
    <x v="739"/>
    <d v="2025-02-14T00:00:00"/>
    <x v="1"/>
    <s v="North"/>
    <s v="Mobile"/>
    <s v="Referral"/>
    <x v="1"/>
  </r>
  <r>
    <x v="740"/>
    <d v="2025-03-30T00:00:00"/>
    <x v="1"/>
    <s v="North"/>
    <s v="Desktop"/>
    <m/>
    <x v="2"/>
  </r>
  <r>
    <x v="741"/>
    <d v="2025-01-08T00:00:00"/>
    <x v="1"/>
    <s v="North"/>
    <s v="Mobile"/>
    <s v="Referral"/>
    <x v="1"/>
  </r>
  <r>
    <x v="742"/>
    <d v="2025-02-07T00:00:00"/>
    <x v="1"/>
    <s v="North"/>
    <s v="Mobile"/>
    <s v="Social"/>
    <x v="1"/>
  </r>
  <r>
    <x v="743"/>
    <d v="2025-02-01T00:00:00"/>
    <x v="1"/>
    <s v="North"/>
    <s v="Tablet"/>
    <s v="Paid Search"/>
    <x v="0"/>
  </r>
  <r>
    <x v="744"/>
    <d v="2025-01-04T00:00:00"/>
    <x v="1"/>
    <s v="East"/>
    <s v="Mobile"/>
    <s v="Email"/>
    <x v="1"/>
  </r>
  <r>
    <x v="745"/>
    <d v="2025-05-16T00:00:00"/>
    <x v="1"/>
    <s v="South"/>
    <s v="Desktop"/>
    <s v="Referral"/>
    <x v="1"/>
  </r>
  <r>
    <x v="746"/>
    <d v="2025-02-28T00:00:00"/>
    <x v="1"/>
    <s v="West"/>
    <s v="Mobile"/>
    <s v="Referral"/>
    <x v="1"/>
  </r>
  <r>
    <x v="747"/>
    <d v="2025-04-12T00:00:00"/>
    <x v="1"/>
    <s v="North"/>
    <s v="Mobile"/>
    <s v="Referral"/>
    <x v="1"/>
  </r>
  <r>
    <x v="748"/>
    <d v="2025-03-23T00:00:00"/>
    <x v="1"/>
    <s v="South"/>
    <s v="Desktop"/>
    <s v="Organic"/>
    <x v="1"/>
  </r>
  <r>
    <x v="749"/>
    <d v="2025-05-29T00:00:00"/>
    <x v="1"/>
    <s v="North"/>
    <s v="Tablet"/>
    <s v="Organic"/>
    <x v="1"/>
  </r>
  <r>
    <x v="750"/>
    <d v="2025-05-21T00:00:00"/>
    <x v="1"/>
    <s v="South"/>
    <s v="Desktop"/>
    <s v="Organic"/>
    <x v="0"/>
  </r>
  <r>
    <x v="751"/>
    <d v="2025-01-05T00:00:00"/>
    <x v="1"/>
    <s v="South"/>
    <s v="Mobile"/>
    <s v="Referral"/>
    <x v="2"/>
  </r>
  <r>
    <x v="752"/>
    <d v="2025-03-19T00:00:00"/>
    <x v="1"/>
    <s v="East"/>
    <s v="Tablet"/>
    <s v="Organic"/>
    <x v="1"/>
  </r>
  <r>
    <x v="753"/>
    <d v="2025-04-24T00:00:00"/>
    <x v="1"/>
    <s v="East"/>
    <s v="Mobile"/>
    <s v="Organic"/>
    <x v="1"/>
  </r>
  <r>
    <x v="754"/>
    <d v="2025-03-10T00:00:00"/>
    <x v="1"/>
    <s v="North"/>
    <s v="Tablet"/>
    <s v="Organic"/>
    <x v="1"/>
  </r>
  <r>
    <x v="755"/>
    <d v="2025-02-22T00:00:00"/>
    <x v="1"/>
    <s v="South"/>
    <s v="Tablet"/>
    <s v="Referral"/>
    <x v="0"/>
  </r>
  <r>
    <x v="756"/>
    <d v="2025-05-17T00:00:00"/>
    <x v="1"/>
    <s v="East"/>
    <s v="Mobile"/>
    <s v="Social"/>
    <x v="1"/>
  </r>
  <r>
    <x v="757"/>
    <d v="2025-05-09T00:00:00"/>
    <x v="1"/>
    <s v="East"/>
    <s v="Tablet"/>
    <s v="Referral"/>
    <x v="2"/>
  </r>
  <r>
    <x v="758"/>
    <d v="2025-04-26T00:00:00"/>
    <x v="1"/>
    <s v="East"/>
    <s v="Tablet"/>
    <s v="Organic"/>
    <x v="2"/>
  </r>
  <r>
    <x v="759"/>
    <d v="2025-03-15T00:00:00"/>
    <x v="1"/>
    <s v="West"/>
    <s v="Desktop"/>
    <s v="Social"/>
    <x v="1"/>
  </r>
  <r>
    <x v="760"/>
    <d v="2025-04-03T00:00:00"/>
    <x v="1"/>
    <s v="North"/>
    <s v="Mobile"/>
    <s v="Paid Search"/>
    <x v="1"/>
  </r>
  <r>
    <x v="761"/>
    <d v="2025-03-26T00:00:00"/>
    <x v="1"/>
    <s v="South"/>
    <s v="Mobile"/>
    <s v="Paid Search"/>
    <x v="1"/>
  </r>
  <r>
    <x v="762"/>
    <d v="2025-02-05T00:00:00"/>
    <x v="1"/>
    <s v="West"/>
    <s v="Desktop"/>
    <s v="Organic"/>
    <x v="0"/>
  </r>
  <r>
    <x v="763"/>
    <d v="2025-05-08T00:00:00"/>
    <x v="1"/>
    <s v="South"/>
    <s v="Mobile"/>
    <s v="Social"/>
    <x v="0"/>
  </r>
  <r>
    <x v="764"/>
    <d v="2025-03-25T00:00:00"/>
    <x v="1"/>
    <s v="South"/>
    <s v="Desktop"/>
    <s v="Organic"/>
    <x v="0"/>
  </r>
  <r>
    <x v="765"/>
    <d v="2025-01-14T00:00:00"/>
    <x v="1"/>
    <s v="West"/>
    <m/>
    <s v="Email"/>
    <x v="0"/>
  </r>
  <r>
    <x v="766"/>
    <d v="2025-03-26T00:00:00"/>
    <x v="1"/>
    <s v="North"/>
    <s v="Mobile"/>
    <s v="Organic"/>
    <x v="1"/>
  </r>
  <r>
    <x v="767"/>
    <d v="2025-01-16T00:00:00"/>
    <x v="1"/>
    <s v="East"/>
    <s v="Mobile"/>
    <s v="Referral"/>
    <x v="1"/>
  </r>
  <r>
    <x v="768"/>
    <d v="2025-01-04T00:00:00"/>
    <x v="1"/>
    <s v="East"/>
    <s v="Mobile"/>
    <s v="Social"/>
    <x v="1"/>
  </r>
  <r>
    <x v="769"/>
    <d v="2025-02-09T00:00:00"/>
    <x v="1"/>
    <s v="South"/>
    <s v="Desktop"/>
    <s v="Organic"/>
    <x v="2"/>
  </r>
  <r>
    <x v="770"/>
    <d v="2025-03-05T00:00:00"/>
    <x v="1"/>
    <s v="East"/>
    <s v="Desktop"/>
    <s v="Organic"/>
    <x v="1"/>
  </r>
  <r>
    <x v="771"/>
    <d v="2025-03-10T00:00:00"/>
    <x v="1"/>
    <s v="East"/>
    <s v="Mobile"/>
    <s v="Referral"/>
    <x v="0"/>
  </r>
  <r>
    <x v="772"/>
    <d v="2025-02-27T00:00:00"/>
    <x v="1"/>
    <s v="East"/>
    <s v="Desktop"/>
    <s v="Paid Search"/>
    <x v="1"/>
  </r>
  <r>
    <x v="773"/>
    <d v="2025-03-10T00:00:00"/>
    <x v="1"/>
    <s v="North"/>
    <s v="Desktop"/>
    <s v="Referral"/>
    <x v="0"/>
  </r>
  <r>
    <x v="774"/>
    <d v="2025-04-23T00:00:00"/>
    <x v="1"/>
    <s v="West"/>
    <s v="Mobile"/>
    <s v="Social"/>
    <x v="1"/>
  </r>
  <r>
    <x v="775"/>
    <d v="2025-04-12T00:00:00"/>
    <x v="1"/>
    <s v="North"/>
    <s v="Desktop"/>
    <s v="Paid Search"/>
    <x v="1"/>
  </r>
  <r>
    <x v="776"/>
    <d v="2025-01-26T00:00:00"/>
    <x v="1"/>
    <s v="East"/>
    <s v="Desktop"/>
    <s v="Referral"/>
    <x v="1"/>
  </r>
  <r>
    <x v="777"/>
    <d v="2025-05-24T00:00:00"/>
    <x v="1"/>
    <s v="West"/>
    <s v="Tablet"/>
    <s v="Paid Search"/>
    <x v="1"/>
  </r>
  <r>
    <x v="778"/>
    <d v="2025-01-08T00:00:00"/>
    <x v="1"/>
    <s v="South"/>
    <s v="Mobile"/>
    <s v="Organic"/>
    <x v="1"/>
  </r>
  <r>
    <x v="779"/>
    <d v="2025-04-15T00:00:00"/>
    <x v="1"/>
    <s v="North"/>
    <s v="Mobile"/>
    <s v="Referral"/>
    <x v="1"/>
  </r>
  <r>
    <x v="780"/>
    <d v="2025-01-15T00:00:00"/>
    <x v="1"/>
    <s v="South"/>
    <s v="Desktop"/>
    <s v="Paid Search"/>
    <x v="1"/>
  </r>
  <r>
    <x v="781"/>
    <d v="2025-02-28T00:00:00"/>
    <x v="1"/>
    <s v="North"/>
    <s v="Mobile"/>
    <s v="Organic"/>
    <x v="0"/>
  </r>
  <r>
    <x v="782"/>
    <d v="2025-01-01T00:00:00"/>
    <x v="1"/>
    <s v="North"/>
    <s v="Tablet"/>
    <s v="Organic"/>
    <x v="0"/>
  </r>
  <r>
    <x v="783"/>
    <d v="2025-04-17T00:00:00"/>
    <x v="1"/>
    <s v="West"/>
    <s v="Mobile"/>
    <s v="Referral"/>
    <x v="1"/>
  </r>
  <r>
    <x v="784"/>
    <d v="2025-02-19T00:00:00"/>
    <x v="1"/>
    <s v="North"/>
    <s v="Mobile"/>
    <s v="Email"/>
    <x v="0"/>
  </r>
  <r>
    <x v="785"/>
    <d v="2025-03-14T00:00:00"/>
    <x v="1"/>
    <s v="North"/>
    <s v="Desktop"/>
    <s v="Organic"/>
    <x v="1"/>
  </r>
  <r>
    <x v="786"/>
    <d v="2025-04-21T00:00:00"/>
    <x v="1"/>
    <s v="North"/>
    <s v="Mobile"/>
    <s v="Organic"/>
    <x v="1"/>
  </r>
  <r>
    <x v="787"/>
    <d v="2025-02-14T00:00:00"/>
    <x v="1"/>
    <s v="North"/>
    <s v="Mobile"/>
    <s v="Organic"/>
    <x v="1"/>
  </r>
  <r>
    <x v="788"/>
    <d v="2025-05-30T00:00:00"/>
    <x v="1"/>
    <s v="West"/>
    <s v="Mobile"/>
    <s v="Organic"/>
    <x v="1"/>
  </r>
  <r>
    <x v="789"/>
    <d v="2025-01-20T00:00:00"/>
    <x v="1"/>
    <s v="West"/>
    <s v="Mobile"/>
    <s v="Organic"/>
    <x v="1"/>
  </r>
  <r>
    <x v="790"/>
    <d v="2025-03-17T00:00:00"/>
    <x v="1"/>
    <s v="West"/>
    <s v="Mobile"/>
    <s v="Social"/>
    <x v="2"/>
  </r>
  <r>
    <x v="791"/>
    <d v="2025-03-04T00:00:00"/>
    <x v="1"/>
    <s v="West"/>
    <s v="Mobile"/>
    <s v="Social"/>
    <x v="1"/>
  </r>
  <r>
    <x v="792"/>
    <d v="2025-02-22T00:00:00"/>
    <x v="1"/>
    <s v="South"/>
    <s v="Mobile"/>
    <s v="Organic"/>
    <x v="2"/>
  </r>
  <r>
    <x v="793"/>
    <d v="2025-05-02T00:00:00"/>
    <x v="1"/>
    <s v="North"/>
    <s v="Mobile"/>
    <s v="Paid Search"/>
    <x v="2"/>
  </r>
  <r>
    <x v="794"/>
    <d v="2025-03-13T00:00:00"/>
    <x v="1"/>
    <s v="West"/>
    <s v="Desktop"/>
    <s v="Organic"/>
    <x v="2"/>
  </r>
  <r>
    <x v="795"/>
    <d v="2025-05-31T00:00:00"/>
    <x v="1"/>
    <s v="South"/>
    <s v="Mobile"/>
    <s v="Organic"/>
    <x v="0"/>
  </r>
  <r>
    <x v="796"/>
    <d v="2025-03-07T00:00:00"/>
    <x v="1"/>
    <s v="West"/>
    <s v="Desktop"/>
    <s v="Social"/>
    <x v="1"/>
  </r>
  <r>
    <x v="797"/>
    <d v="2025-02-22T00:00:00"/>
    <x v="1"/>
    <s v="West"/>
    <s v="Mobile"/>
    <s v="Paid Search"/>
    <x v="0"/>
  </r>
  <r>
    <x v="798"/>
    <d v="2025-01-05T00:00:00"/>
    <x v="1"/>
    <s v="West"/>
    <s v="Desktop"/>
    <s v="Paid Search"/>
    <x v="1"/>
  </r>
  <r>
    <x v="799"/>
    <d v="2025-01-21T00:00:00"/>
    <x v="1"/>
    <s v="West"/>
    <s v="Mobile"/>
    <s v="Referral"/>
    <x v="1"/>
  </r>
  <r>
    <x v="800"/>
    <d v="2025-01-25T00:00:00"/>
    <x v="1"/>
    <s v="North"/>
    <s v="Desktop"/>
    <s v="Social"/>
    <x v="1"/>
  </r>
  <r>
    <x v="801"/>
    <d v="2025-04-04T00:00:00"/>
    <x v="1"/>
    <s v="West"/>
    <s v="Mobile"/>
    <s v="Paid Search"/>
    <x v="0"/>
  </r>
  <r>
    <x v="802"/>
    <d v="2025-03-25T00:00:00"/>
    <x v="1"/>
    <s v="North"/>
    <s v="Desktop"/>
    <s v="Social"/>
    <x v="2"/>
  </r>
  <r>
    <x v="803"/>
    <d v="2025-03-19T00:00:00"/>
    <x v="1"/>
    <s v="West"/>
    <s v="Mobile"/>
    <s v="Social"/>
    <x v="1"/>
  </r>
  <r>
    <x v="804"/>
    <d v="2025-04-24T00:00:00"/>
    <x v="1"/>
    <s v="West"/>
    <s v="Desktop"/>
    <s v="Organic"/>
    <x v="1"/>
  </r>
  <r>
    <x v="805"/>
    <d v="2025-04-04T00:00:00"/>
    <x v="1"/>
    <s v="South"/>
    <s v="Tablet"/>
    <s v="Organic"/>
    <x v="1"/>
  </r>
  <r>
    <x v="806"/>
    <d v="2025-03-28T00:00:00"/>
    <x v="1"/>
    <s v="South"/>
    <s v="Desktop"/>
    <s v="Paid Search"/>
    <x v="2"/>
  </r>
  <r>
    <x v="807"/>
    <d v="2025-05-15T00:00:00"/>
    <x v="1"/>
    <s v="South"/>
    <s v="Tablet"/>
    <s v="Paid Search"/>
    <x v="1"/>
  </r>
  <r>
    <x v="808"/>
    <d v="2025-03-13T00:00:00"/>
    <x v="1"/>
    <s v="West"/>
    <s v="Mobile"/>
    <s v="Paid Search"/>
    <x v="1"/>
  </r>
  <r>
    <x v="809"/>
    <d v="2025-03-26T00:00:00"/>
    <x v="1"/>
    <s v="North"/>
    <s v="Mobile"/>
    <s v="Social"/>
    <x v="2"/>
  </r>
  <r>
    <x v="810"/>
    <d v="2025-01-09T00:00:00"/>
    <x v="1"/>
    <s v="North"/>
    <s v="Mobile"/>
    <s v="Social"/>
    <x v="0"/>
  </r>
  <r>
    <x v="811"/>
    <d v="2025-05-06T00:00:00"/>
    <x v="1"/>
    <s v="South"/>
    <s v="Desktop"/>
    <s v="Paid Search"/>
    <x v="1"/>
  </r>
  <r>
    <x v="812"/>
    <d v="2025-02-17T00:00:00"/>
    <x v="1"/>
    <s v="South"/>
    <s v="Mobile"/>
    <s v="Organic"/>
    <x v="1"/>
  </r>
  <r>
    <x v="813"/>
    <d v="2025-04-05T00:00:00"/>
    <x v="1"/>
    <s v="East"/>
    <s v="Mobile"/>
    <s v="Paid Search"/>
    <x v="1"/>
  </r>
  <r>
    <x v="814"/>
    <d v="2025-04-13T00:00:00"/>
    <x v="1"/>
    <s v="West"/>
    <s v="Tablet"/>
    <s v="Organic"/>
    <x v="1"/>
  </r>
  <r>
    <x v="815"/>
    <d v="2025-05-20T00:00:00"/>
    <x v="1"/>
    <s v="East"/>
    <s v="Desktop"/>
    <s v="Referral"/>
    <x v="1"/>
  </r>
  <r>
    <x v="816"/>
    <d v="2025-03-31T00:00:00"/>
    <x v="1"/>
    <s v="East"/>
    <s v="Mobile"/>
    <s v="Email"/>
    <x v="1"/>
  </r>
  <r>
    <x v="817"/>
    <d v="2025-04-03T00:00:00"/>
    <x v="1"/>
    <s v="West"/>
    <s v="Tablet"/>
    <s v="Paid Search"/>
    <x v="0"/>
  </r>
  <r>
    <x v="818"/>
    <d v="2025-02-04T00:00:00"/>
    <x v="1"/>
    <s v="South"/>
    <s v="Mobile"/>
    <s v="Organic"/>
    <x v="1"/>
  </r>
  <r>
    <x v="819"/>
    <d v="2025-05-19T00:00:00"/>
    <x v="1"/>
    <s v="East"/>
    <s v="Mobile"/>
    <s v="Organic"/>
    <x v="1"/>
  </r>
  <r>
    <x v="820"/>
    <d v="2025-03-08T00:00:00"/>
    <x v="1"/>
    <s v="East"/>
    <s v="Desktop"/>
    <s v="Paid Search"/>
    <x v="0"/>
  </r>
  <r>
    <x v="821"/>
    <d v="2025-05-10T00:00:00"/>
    <x v="1"/>
    <s v="North"/>
    <s v="Mobile"/>
    <s v="Social"/>
    <x v="0"/>
  </r>
  <r>
    <x v="822"/>
    <d v="2025-01-02T00:00:00"/>
    <x v="1"/>
    <s v="East"/>
    <s v="Desktop"/>
    <s v="Social"/>
    <x v="0"/>
  </r>
  <r>
    <x v="823"/>
    <d v="2025-01-17T00:00:00"/>
    <x v="1"/>
    <s v="West"/>
    <s v="Mobile"/>
    <s v="Organic"/>
    <x v="0"/>
  </r>
  <r>
    <x v="824"/>
    <d v="2025-05-21T00:00:00"/>
    <x v="1"/>
    <s v="West"/>
    <s v="Mobile"/>
    <s v="Referral"/>
    <x v="0"/>
  </r>
  <r>
    <x v="825"/>
    <d v="2025-05-25T00:00:00"/>
    <x v="1"/>
    <s v="East"/>
    <s v="Desktop"/>
    <s v="Referral"/>
    <x v="1"/>
  </r>
  <r>
    <x v="826"/>
    <d v="2025-01-05T00:00:00"/>
    <x v="1"/>
    <s v="West"/>
    <s v="Mobile"/>
    <s v="Email"/>
    <x v="0"/>
  </r>
  <r>
    <x v="827"/>
    <d v="2025-02-24T00:00:00"/>
    <x v="1"/>
    <s v="South"/>
    <s v="Desktop"/>
    <s v="Organic"/>
    <x v="1"/>
  </r>
  <r>
    <x v="828"/>
    <d v="2025-01-21T00:00:00"/>
    <x v="1"/>
    <s v="East"/>
    <s v="Mobile"/>
    <s v="Paid Search"/>
    <x v="0"/>
  </r>
  <r>
    <x v="829"/>
    <d v="2025-04-24T00:00:00"/>
    <x v="1"/>
    <s v="North"/>
    <s v="Mobile"/>
    <s v="Organic"/>
    <x v="0"/>
  </r>
  <r>
    <x v="830"/>
    <d v="2025-01-07T00:00:00"/>
    <x v="1"/>
    <s v="West"/>
    <s v="Desktop"/>
    <s v="Organic"/>
    <x v="1"/>
  </r>
  <r>
    <x v="831"/>
    <d v="2025-05-31T00:00:00"/>
    <x v="1"/>
    <s v="South"/>
    <s v="Tablet"/>
    <s v="Organic"/>
    <x v="0"/>
  </r>
  <r>
    <x v="832"/>
    <d v="2025-04-02T00:00:00"/>
    <x v="1"/>
    <s v="North"/>
    <s v="Desktop"/>
    <s v="Organic"/>
    <x v="0"/>
  </r>
  <r>
    <x v="833"/>
    <d v="2025-04-21T00:00:00"/>
    <x v="1"/>
    <s v="East"/>
    <s v="Mobile"/>
    <s v="Organic"/>
    <x v="1"/>
  </r>
  <r>
    <x v="834"/>
    <d v="2025-05-05T00:00:00"/>
    <x v="1"/>
    <s v="East"/>
    <s v="Mobile"/>
    <s v="Paid Search"/>
    <x v="0"/>
  </r>
  <r>
    <x v="835"/>
    <d v="2025-01-06T00:00:00"/>
    <x v="1"/>
    <s v="North"/>
    <s v="Desktop"/>
    <s v="Social"/>
    <x v="1"/>
  </r>
  <r>
    <x v="836"/>
    <d v="2025-04-24T00:00:00"/>
    <x v="1"/>
    <s v="South"/>
    <s v="Mobile"/>
    <s v="Referral"/>
    <x v="1"/>
  </r>
  <r>
    <x v="837"/>
    <d v="2025-04-21T00:00:00"/>
    <x v="1"/>
    <s v="South"/>
    <s v="Mobile"/>
    <s v="Organic"/>
    <x v="0"/>
  </r>
  <r>
    <x v="838"/>
    <d v="2025-02-09T00:00:00"/>
    <x v="1"/>
    <s v="West"/>
    <s v="Mobile"/>
    <s v="Organic"/>
    <x v="0"/>
  </r>
  <r>
    <x v="839"/>
    <d v="2025-01-09T00:00:00"/>
    <x v="1"/>
    <s v="East"/>
    <s v="Mobile"/>
    <s v="Organic"/>
    <x v="2"/>
  </r>
  <r>
    <x v="840"/>
    <d v="2025-02-16T00:00:00"/>
    <x v="1"/>
    <s v="North"/>
    <s v="Mobile"/>
    <s v="Paid Search"/>
    <x v="0"/>
  </r>
  <r>
    <x v="841"/>
    <d v="2025-02-21T00:00:00"/>
    <x v="1"/>
    <s v="South"/>
    <s v="Mobile"/>
    <s v="Organic"/>
    <x v="1"/>
  </r>
  <r>
    <x v="842"/>
    <d v="2025-02-08T00:00:00"/>
    <x v="1"/>
    <s v="South"/>
    <s v="Mobile"/>
    <s v="Organic"/>
    <x v="2"/>
  </r>
  <r>
    <x v="843"/>
    <d v="2025-01-22T00:00:00"/>
    <x v="1"/>
    <s v="South"/>
    <s v="Mobile"/>
    <s v="Paid Search"/>
    <x v="2"/>
  </r>
  <r>
    <x v="844"/>
    <d v="2025-04-01T00:00:00"/>
    <x v="1"/>
    <s v="West"/>
    <s v="Mobile"/>
    <s v="Organic"/>
    <x v="0"/>
  </r>
  <r>
    <x v="845"/>
    <d v="2025-01-21T00:00:00"/>
    <x v="1"/>
    <s v="North"/>
    <s v="Mobile"/>
    <s v="Paid Search"/>
    <x v="0"/>
  </r>
  <r>
    <x v="846"/>
    <d v="2025-01-02T00:00:00"/>
    <x v="1"/>
    <s v="East"/>
    <s v="Desktop"/>
    <s v="Organic"/>
    <x v="1"/>
  </r>
  <r>
    <x v="847"/>
    <d v="2025-05-12T00:00:00"/>
    <x v="1"/>
    <s v="South"/>
    <s v="Desktop"/>
    <s v="Paid Search"/>
    <x v="1"/>
  </r>
  <r>
    <x v="848"/>
    <d v="2025-03-05T00:00:00"/>
    <x v="1"/>
    <s v="South"/>
    <s v="Mobile"/>
    <s v="Social"/>
    <x v="0"/>
  </r>
  <r>
    <x v="849"/>
    <d v="2025-01-24T00:00:00"/>
    <x v="1"/>
    <s v="East"/>
    <s v="Mobile"/>
    <s v="Organic"/>
    <x v="1"/>
  </r>
  <r>
    <x v="850"/>
    <d v="2025-01-31T00:00:00"/>
    <x v="1"/>
    <s v="East"/>
    <s v="Desktop"/>
    <s v="Email"/>
    <x v="1"/>
  </r>
  <r>
    <x v="851"/>
    <d v="2025-01-24T00:00:00"/>
    <x v="1"/>
    <s v="North"/>
    <s v="Tablet"/>
    <s v="Organic"/>
    <x v="0"/>
  </r>
  <r>
    <x v="852"/>
    <d v="2025-02-14T00:00:00"/>
    <x v="1"/>
    <s v="North"/>
    <s v="Desktop"/>
    <s v="Referral"/>
    <x v="0"/>
  </r>
  <r>
    <x v="853"/>
    <d v="2025-05-27T00:00:00"/>
    <x v="1"/>
    <s v="North"/>
    <s v="Mobile"/>
    <s v="Organic"/>
    <x v="1"/>
  </r>
  <r>
    <x v="854"/>
    <d v="2025-02-28T00:00:00"/>
    <x v="1"/>
    <s v="North"/>
    <s v="Mobile"/>
    <s v="Paid Search"/>
    <x v="1"/>
  </r>
  <r>
    <x v="855"/>
    <d v="2025-05-27T00:00:00"/>
    <x v="1"/>
    <s v="North"/>
    <s v="Mobile"/>
    <s v="Organic"/>
    <x v="0"/>
  </r>
  <r>
    <x v="856"/>
    <d v="2025-05-17T00:00:00"/>
    <x v="1"/>
    <s v="South"/>
    <s v="Mobile"/>
    <s v="Paid Search"/>
    <x v="2"/>
  </r>
  <r>
    <x v="857"/>
    <d v="2025-01-10T00:00:00"/>
    <x v="1"/>
    <s v="West"/>
    <s v="Desktop"/>
    <s v="Social"/>
    <x v="1"/>
  </r>
  <r>
    <x v="858"/>
    <d v="2025-04-22T00:00:00"/>
    <x v="1"/>
    <s v="North"/>
    <s v="Mobile"/>
    <s v="Email"/>
    <x v="0"/>
  </r>
  <r>
    <x v="859"/>
    <d v="2025-03-02T00:00:00"/>
    <x v="1"/>
    <s v="South"/>
    <s v="Desktop"/>
    <s v="Organic"/>
    <x v="0"/>
  </r>
  <r>
    <x v="860"/>
    <d v="2025-03-23T00:00:00"/>
    <x v="1"/>
    <s v="East"/>
    <s v="Mobile"/>
    <s v="Paid Search"/>
    <x v="1"/>
  </r>
  <r>
    <x v="861"/>
    <d v="2025-02-12T00:00:00"/>
    <x v="1"/>
    <s v="East"/>
    <s v="Mobile"/>
    <s v="Email"/>
    <x v="1"/>
  </r>
  <r>
    <x v="862"/>
    <d v="2025-05-03T00:00:00"/>
    <x v="1"/>
    <s v="South"/>
    <s v="Mobile"/>
    <s v="Referral"/>
    <x v="0"/>
  </r>
  <r>
    <x v="863"/>
    <d v="2025-03-28T00:00:00"/>
    <x v="1"/>
    <s v="North"/>
    <s v="Desktop"/>
    <s v="Social"/>
    <x v="1"/>
  </r>
  <r>
    <x v="864"/>
    <d v="2025-03-12T00:00:00"/>
    <x v="1"/>
    <s v="North"/>
    <s v="Mobile"/>
    <s v="Social"/>
    <x v="0"/>
  </r>
  <r>
    <x v="865"/>
    <d v="2025-04-27T00:00:00"/>
    <x v="1"/>
    <s v="East"/>
    <s v="Mobile"/>
    <s v="Paid Search"/>
    <x v="1"/>
  </r>
  <r>
    <x v="866"/>
    <d v="2025-04-02T00:00:00"/>
    <x v="1"/>
    <s v="South"/>
    <s v="Mobile"/>
    <s v="Referral"/>
    <x v="0"/>
  </r>
  <r>
    <x v="867"/>
    <d v="2025-04-21T00:00:00"/>
    <x v="1"/>
    <s v="North"/>
    <s v="Mobile"/>
    <s v="Social"/>
    <x v="1"/>
  </r>
  <r>
    <x v="868"/>
    <d v="2025-01-26T00:00:00"/>
    <x v="1"/>
    <s v="West"/>
    <s v="Desktop"/>
    <s v="Organic"/>
    <x v="0"/>
  </r>
  <r>
    <x v="869"/>
    <d v="2025-01-06T00:00:00"/>
    <x v="1"/>
    <s v="West"/>
    <s v="Mobile"/>
    <s v="Organic"/>
    <x v="1"/>
  </r>
  <r>
    <x v="870"/>
    <d v="2025-02-07T00:00:00"/>
    <x v="1"/>
    <s v="East"/>
    <s v="Mobile"/>
    <s v="Organic"/>
    <x v="1"/>
  </r>
  <r>
    <x v="871"/>
    <d v="2025-05-07T00:00:00"/>
    <x v="1"/>
    <s v="West"/>
    <s v="Mobile"/>
    <s v="Organic"/>
    <x v="2"/>
  </r>
  <r>
    <x v="872"/>
    <d v="2025-04-22T00:00:00"/>
    <x v="1"/>
    <s v="West"/>
    <m/>
    <s v="Social"/>
    <x v="1"/>
  </r>
  <r>
    <x v="873"/>
    <d v="2025-05-04T00:00:00"/>
    <x v="1"/>
    <s v="West"/>
    <s v="Desktop"/>
    <s v="Social"/>
    <x v="1"/>
  </r>
  <r>
    <x v="874"/>
    <d v="2025-05-16T00:00:00"/>
    <x v="1"/>
    <s v="South"/>
    <s v="Mobile"/>
    <s v="Social"/>
    <x v="0"/>
  </r>
  <r>
    <x v="875"/>
    <d v="2025-02-11T00:00:00"/>
    <x v="1"/>
    <s v="West"/>
    <s v="Mobile"/>
    <s v="Paid Search"/>
    <x v="1"/>
  </r>
  <r>
    <x v="876"/>
    <d v="2025-05-09T00:00:00"/>
    <x v="1"/>
    <s v="East"/>
    <s v="Desktop"/>
    <s v="Organic"/>
    <x v="2"/>
  </r>
  <r>
    <x v="877"/>
    <d v="2025-02-09T00:00:00"/>
    <x v="1"/>
    <s v="South"/>
    <s v="Desktop"/>
    <s v="Paid Search"/>
    <x v="1"/>
  </r>
  <r>
    <x v="878"/>
    <d v="2025-05-22T00:00:00"/>
    <x v="1"/>
    <s v="West"/>
    <s v="Mobile"/>
    <s v="Social"/>
    <x v="0"/>
  </r>
  <r>
    <x v="879"/>
    <d v="2025-05-24T00:00:00"/>
    <x v="1"/>
    <s v="East"/>
    <s v="Mobile"/>
    <s v="Social"/>
    <x v="0"/>
  </r>
  <r>
    <x v="880"/>
    <d v="2025-04-27T00:00:00"/>
    <x v="1"/>
    <s v="South"/>
    <s v="Desktop"/>
    <s v="Social"/>
    <x v="0"/>
  </r>
  <r>
    <x v="881"/>
    <d v="2025-03-19T00:00:00"/>
    <x v="1"/>
    <s v="East"/>
    <s v="Mobile"/>
    <s v="Paid Search"/>
    <x v="1"/>
  </r>
  <r>
    <x v="882"/>
    <d v="2025-05-20T00:00:00"/>
    <x v="1"/>
    <s v="South"/>
    <s v="Mobile"/>
    <s v="Organic"/>
    <x v="2"/>
  </r>
  <r>
    <x v="883"/>
    <d v="2025-05-10T00:00:00"/>
    <x v="1"/>
    <s v="North"/>
    <s v="Mobile"/>
    <s v="Email"/>
    <x v="2"/>
  </r>
  <r>
    <x v="884"/>
    <d v="2025-03-29T00:00:00"/>
    <x v="1"/>
    <s v="East"/>
    <s v="Mobile"/>
    <s v="Social"/>
    <x v="1"/>
  </r>
  <r>
    <x v="885"/>
    <d v="2025-04-03T00:00:00"/>
    <x v="1"/>
    <s v="West"/>
    <s v="Desktop"/>
    <s v="Referral"/>
    <x v="0"/>
  </r>
  <r>
    <x v="886"/>
    <d v="2025-05-30T00:00:00"/>
    <x v="1"/>
    <s v="South"/>
    <s v="Mobile"/>
    <s v="Email"/>
    <x v="1"/>
  </r>
  <r>
    <x v="887"/>
    <d v="2025-04-06T00:00:00"/>
    <x v="1"/>
    <s v="East"/>
    <s v="Desktop"/>
    <s v="Email"/>
    <x v="1"/>
  </r>
  <r>
    <x v="888"/>
    <d v="2025-03-14T00:00:00"/>
    <x v="1"/>
    <s v="North"/>
    <s v="Mobile"/>
    <s v="Referral"/>
    <x v="1"/>
  </r>
  <r>
    <x v="889"/>
    <d v="2025-02-24T00:00:00"/>
    <x v="1"/>
    <s v="South"/>
    <s v="Desktop"/>
    <s v="Paid Search"/>
    <x v="0"/>
  </r>
  <r>
    <x v="890"/>
    <d v="2025-03-04T00:00:00"/>
    <x v="1"/>
    <s v="West"/>
    <s v="Mobile"/>
    <s v="Email"/>
    <x v="0"/>
  </r>
  <r>
    <x v="891"/>
    <d v="2025-04-02T00:00:00"/>
    <x v="1"/>
    <s v="North"/>
    <s v="Mobile"/>
    <s v="Organic"/>
    <x v="1"/>
  </r>
  <r>
    <x v="892"/>
    <d v="2025-05-11T00:00:00"/>
    <x v="1"/>
    <s v="North"/>
    <s v="Mobile"/>
    <s v="Email"/>
    <x v="2"/>
  </r>
  <r>
    <x v="893"/>
    <d v="2025-05-10T00:00:00"/>
    <x v="1"/>
    <s v="West"/>
    <s v="Tablet"/>
    <s v="Paid Search"/>
    <x v="0"/>
  </r>
  <r>
    <x v="894"/>
    <d v="2025-05-06T00:00:00"/>
    <x v="1"/>
    <s v="West"/>
    <s v="Mobile"/>
    <s v="Referral"/>
    <x v="1"/>
  </r>
  <r>
    <x v="895"/>
    <d v="2025-02-11T00:00:00"/>
    <x v="1"/>
    <s v="West"/>
    <s v="Desktop"/>
    <s v="Paid Search"/>
    <x v="1"/>
  </r>
  <r>
    <x v="896"/>
    <d v="2025-05-09T00:00:00"/>
    <x v="1"/>
    <s v="South"/>
    <s v="Mobile"/>
    <s v="Paid Search"/>
    <x v="2"/>
  </r>
  <r>
    <x v="897"/>
    <d v="2025-02-02T00:00:00"/>
    <x v="1"/>
    <s v="South"/>
    <s v="Mobile"/>
    <m/>
    <x v="1"/>
  </r>
  <r>
    <x v="898"/>
    <d v="2025-04-03T00:00:00"/>
    <x v="1"/>
    <s v="South"/>
    <s v="Mobile"/>
    <s v="Social"/>
    <x v="1"/>
  </r>
  <r>
    <x v="899"/>
    <d v="2025-02-15T00:00:00"/>
    <x v="1"/>
    <s v="North"/>
    <s v="Desktop"/>
    <s v="Organic"/>
    <x v="0"/>
  </r>
  <r>
    <x v="900"/>
    <d v="2025-04-18T00:00:00"/>
    <x v="1"/>
    <s v="South"/>
    <s v="Desktop"/>
    <s v="Organic"/>
    <x v="1"/>
  </r>
  <r>
    <x v="901"/>
    <d v="2025-03-14T00:00:00"/>
    <x v="1"/>
    <s v="West"/>
    <s v="Desktop"/>
    <s v="Organic"/>
    <x v="2"/>
  </r>
  <r>
    <x v="902"/>
    <d v="2025-03-29T00:00:00"/>
    <x v="1"/>
    <s v="South"/>
    <s v="Mobile"/>
    <s v="Referral"/>
    <x v="1"/>
  </r>
  <r>
    <x v="903"/>
    <d v="2025-02-13T00:00:00"/>
    <x v="1"/>
    <s v="North"/>
    <s v="Desktop"/>
    <s v="Organic"/>
    <x v="1"/>
  </r>
  <r>
    <x v="904"/>
    <d v="2025-01-23T00:00:00"/>
    <x v="1"/>
    <s v="South"/>
    <s v="Mobile"/>
    <s v="Paid Search"/>
    <x v="1"/>
  </r>
  <r>
    <x v="905"/>
    <d v="2025-02-24T00:00:00"/>
    <x v="1"/>
    <s v="East"/>
    <s v="Mobile"/>
    <s v="Social"/>
    <x v="1"/>
  </r>
  <r>
    <x v="906"/>
    <d v="2025-02-28T00:00:00"/>
    <x v="1"/>
    <s v="West"/>
    <s v="Mobile"/>
    <s v="Paid Search"/>
    <x v="1"/>
  </r>
  <r>
    <x v="907"/>
    <d v="2025-01-07T00:00:00"/>
    <x v="1"/>
    <s v="West"/>
    <s v="Tablet"/>
    <s v="Organic"/>
    <x v="0"/>
  </r>
  <r>
    <x v="908"/>
    <d v="2025-03-21T00:00:00"/>
    <x v="1"/>
    <s v="West"/>
    <s v="Desktop"/>
    <s v="Email"/>
    <x v="1"/>
  </r>
  <r>
    <x v="909"/>
    <d v="2025-02-18T00:00:00"/>
    <x v="1"/>
    <s v="North"/>
    <s v="Desktop"/>
    <s v="Organic"/>
    <x v="0"/>
  </r>
  <r>
    <x v="910"/>
    <d v="2025-01-05T00:00:00"/>
    <x v="1"/>
    <s v="North"/>
    <s v="Mobile"/>
    <s v="Paid Search"/>
    <x v="1"/>
  </r>
  <r>
    <x v="911"/>
    <d v="2025-03-11T00:00:00"/>
    <x v="1"/>
    <s v="East"/>
    <s v="Desktop"/>
    <s v="Organic"/>
    <x v="0"/>
  </r>
  <r>
    <x v="912"/>
    <d v="2025-01-09T00:00:00"/>
    <x v="1"/>
    <s v="North"/>
    <s v="Desktop"/>
    <s v="Organic"/>
    <x v="0"/>
  </r>
  <r>
    <x v="913"/>
    <d v="2025-01-08T00:00:00"/>
    <x v="1"/>
    <s v="South"/>
    <s v="Mobile"/>
    <s v="Organic"/>
    <x v="1"/>
  </r>
  <r>
    <x v="914"/>
    <d v="2025-05-01T00:00:00"/>
    <x v="1"/>
    <s v="East"/>
    <s v="Desktop"/>
    <s v="Paid Search"/>
    <x v="1"/>
  </r>
  <r>
    <x v="915"/>
    <d v="2025-03-03T00:00:00"/>
    <x v="1"/>
    <s v="South"/>
    <s v="Mobile"/>
    <s v="Social"/>
    <x v="1"/>
  </r>
  <r>
    <x v="916"/>
    <d v="2025-02-23T00:00:00"/>
    <x v="1"/>
    <s v="West"/>
    <s v="Desktop"/>
    <s v="Social"/>
    <x v="0"/>
  </r>
  <r>
    <x v="917"/>
    <d v="2025-02-17T00:00:00"/>
    <x v="1"/>
    <s v="South"/>
    <s v="Desktop"/>
    <s v="Organic"/>
    <x v="0"/>
  </r>
  <r>
    <x v="918"/>
    <d v="2025-05-21T00:00:00"/>
    <x v="1"/>
    <s v="East"/>
    <s v="Mobile"/>
    <s v="Organic"/>
    <x v="0"/>
  </r>
  <r>
    <x v="919"/>
    <d v="2025-01-30T00:00:00"/>
    <x v="1"/>
    <s v="South"/>
    <s v="Mobile"/>
    <s v="Organic"/>
    <x v="1"/>
  </r>
  <r>
    <x v="920"/>
    <d v="2025-03-20T00:00:00"/>
    <x v="1"/>
    <s v="West"/>
    <s v="Mobile"/>
    <s v="Email"/>
    <x v="1"/>
  </r>
  <r>
    <x v="921"/>
    <d v="2025-04-10T00:00:00"/>
    <x v="1"/>
    <s v="West"/>
    <s v="Tablet"/>
    <s v="Paid Search"/>
    <x v="1"/>
  </r>
  <r>
    <x v="922"/>
    <d v="2025-03-07T00:00:00"/>
    <x v="1"/>
    <s v="North"/>
    <s v="Desktop"/>
    <s v="Organic"/>
    <x v="1"/>
  </r>
  <r>
    <x v="923"/>
    <d v="2025-03-12T00:00:00"/>
    <x v="1"/>
    <s v="West"/>
    <s v="Mobile"/>
    <s v="Email"/>
    <x v="0"/>
  </r>
  <r>
    <x v="924"/>
    <d v="2025-02-24T00:00:00"/>
    <x v="1"/>
    <s v="East"/>
    <s v="Mobile"/>
    <s v="Referral"/>
    <x v="1"/>
  </r>
  <r>
    <x v="925"/>
    <d v="2025-01-15T00:00:00"/>
    <x v="1"/>
    <s v="East"/>
    <s v="Mobile"/>
    <s v="Referral"/>
    <x v="1"/>
  </r>
  <r>
    <x v="926"/>
    <d v="2025-01-07T00:00:00"/>
    <x v="1"/>
    <s v="North"/>
    <s v="Desktop"/>
    <s v="Paid Search"/>
    <x v="1"/>
  </r>
  <r>
    <x v="927"/>
    <d v="2025-03-02T00:00:00"/>
    <x v="1"/>
    <s v="North"/>
    <s v="Desktop"/>
    <s v="Organic"/>
    <x v="1"/>
  </r>
  <r>
    <x v="928"/>
    <d v="2025-01-05T00:00:00"/>
    <x v="1"/>
    <s v="South"/>
    <s v="Desktop"/>
    <s v="Referral"/>
    <x v="0"/>
  </r>
  <r>
    <x v="929"/>
    <d v="2025-03-03T00:00:00"/>
    <x v="1"/>
    <s v="South"/>
    <s v="Mobile"/>
    <s v="Organic"/>
    <x v="1"/>
  </r>
  <r>
    <x v="930"/>
    <d v="2025-03-31T00:00:00"/>
    <x v="1"/>
    <s v="East"/>
    <s v="Desktop"/>
    <s v="Referral"/>
    <x v="1"/>
  </r>
  <r>
    <x v="931"/>
    <d v="2025-01-14T00:00:00"/>
    <x v="1"/>
    <s v="East"/>
    <s v="Desktop"/>
    <s v="Paid Search"/>
    <x v="2"/>
  </r>
  <r>
    <x v="932"/>
    <d v="2025-01-15T00:00:00"/>
    <x v="1"/>
    <s v="West"/>
    <s v="Desktop"/>
    <s v="Paid Search"/>
    <x v="2"/>
  </r>
  <r>
    <x v="933"/>
    <d v="2025-04-25T00:00:00"/>
    <x v="1"/>
    <s v="West"/>
    <s v="Desktop"/>
    <s v="Organic"/>
    <x v="1"/>
  </r>
  <r>
    <x v="934"/>
    <d v="2025-03-21T00:00:00"/>
    <x v="1"/>
    <s v="East"/>
    <s v="Mobile"/>
    <s v="Organic"/>
    <x v="0"/>
  </r>
  <r>
    <x v="935"/>
    <d v="2025-04-26T00:00:00"/>
    <x v="1"/>
    <s v="South"/>
    <s v="Mobile"/>
    <s v="Paid Search"/>
    <x v="0"/>
  </r>
  <r>
    <x v="936"/>
    <d v="2025-05-21T00:00:00"/>
    <x v="1"/>
    <s v="South"/>
    <s v="Desktop"/>
    <m/>
    <x v="0"/>
  </r>
  <r>
    <x v="937"/>
    <d v="2025-04-18T00:00:00"/>
    <x v="1"/>
    <s v="East"/>
    <s v="Mobile"/>
    <s v="Paid Search"/>
    <x v="1"/>
  </r>
  <r>
    <x v="938"/>
    <d v="2025-01-29T00:00:00"/>
    <x v="1"/>
    <s v="North"/>
    <s v="Desktop"/>
    <s v="Email"/>
    <x v="2"/>
  </r>
  <r>
    <x v="939"/>
    <d v="2025-05-28T00:00:00"/>
    <x v="1"/>
    <s v="West"/>
    <s v="Mobile"/>
    <s v="Organic"/>
    <x v="2"/>
  </r>
  <r>
    <x v="940"/>
    <d v="2025-01-15T00:00:00"/>
    <x v="1"/>
    <s v="East"/>
    <s v="Mobile"/>
    <s v="Email"/>
    <x v="1"/>
  </r>
  <r>
    <x v="941"/>
    <d v="2025-01-03T00:00:00"/>
    <x v="1"/>
    <s v="South"/>
    <s v="Mobile"/>
    <s v="Organic"/>
    <x v="0"/>
  </r>
  <r>
    <x v="942"/>
    <d v="2025-02-04T00:00:00"/>
    <x v="1"/>
    <s v="South"/>
    <s v="Mobile"/>
    <s v="Paid Search"/>
    <x v="1"/>
  </r>
  <r>
    <x v="943"/>
    <d v="2025-02-22T00:00:00"/>
    <x v="1"/>
    <s v="South"/>
    <s v="Mobile"/>
    <s v="Referral"/>
    <x v="2"/>
  </r>
  <r>
    <x v="944"/>
    <d v="2025-05-06T00:00:00"/>
    <x v="1"/>
    <s v="West"/>
    <s v="Mobile"/>
    <s v="Organic"/>
    <x v="0"/>
  </r>
  <r>
    <x v="945"/>
    <d v="2025-01-31T00:00:00"/>
    <x v="1"/>
    <s v="South"/>
    <s v="Mobile"/>
    <s v="Organic"/>
    <x v="1"/>
  </r>
  <r>
    <x v="946"/>
    <d v="2025-02-18T00:00:00"/>
    <x v="1"/>
    <s v="North"/>
    <s v="Mobile"/>
    <s v="Social"/>
    <x v="0"/>
  </r>
  <r>
    <x v="947"/>
    <d v="2025-04-23T00:00:00"/>
    <x v="1"/>
    <s v="East"/>
    <s v="Mobile"/>
    <s v="Paid Search"/>
    <x v="1"/>
  </r>
  <r>
    <x v="948"/>
    <d v="2025-02-06T00:00:00"/>
    <x v="1"/>
    <s v="North"/>
    <s v="Mobile"/>
    <s v="Organic"/>
    <x v="1"/>
  </r>
  <r>
    <x v="949"/>
    <d v="2025-04-26T00:00:00"/>
    <x v="1"/>
    <s v="South"/>
    <s v="Desktop"/>
    <s v="Paid Search"/>
    <x v="1"/>
  </r>
  <r>
    <x v="950"/>
    <d v="2025-03-30T00:00:00"/>
    <x v="1"/>
    <s v="West"/>
    <s v="Desktop"/>
    <s v="Paid Search"/>
    <x v="0"/>
  </r>
  <r>
    <x v="951"/>
    <d v="2025-04-13T00:00:00"/>
    <x v="1"/>
    <s v="West"/>
    <s v="Mobile"/>
    <m/>
    <x v="2"/>
  </r>
  <r>
    <x v="952"/>
    <d v="2025-04-04T00:00:00"/>
    <x v="1"/>
    <s v="East"/>
    <s v="Desktop"/>
    <s v="Organic"/>
    <x v="2"/>
  </r>
  <r>
    <x v="953"/>
    <d v="2025-04-03T00:00:00"/>
    <x v="1"/>
    <s v="North"/>
    <s v="Desktop"/>
    <s v="Referral"/>
    <x v="1"/>
  </r>
  <r>
    <x v="954"/>
    <d v="2025-03-14T00:00:00"/>
    <x v="1"/>
    <s v="West"/>
    <s v="Mobile"/>
    <s v="Paid Search"/>
    <x v="2"/>
  </r>
  <r>
    <x v="955"/>
    <d v="2025-01-14T00:00:00"/>
    <x v="1"/>
    <s v="West"/>
    <s v="Mobile"/>
    <s v="Referral"/>
    <x v="1"/>
  </r>
  <r>
    <x v="956"/>
    <d v="2025-05-05T00:00:00"/>
    <x v="1"/>
    <s v="West"/>
    <s v="Mobile"/>
    <s v="Paid Search"/>
    <x v="1"/>
  </r>
  <r>
    <x v="957"/>
    <d v="2025-05-02T00:00:00"/>
    <x v="1"/>
    <s v="West"/>
    <s v="Desktop"/>
    <s v="Social"/>
    <x v="1"/>
  </r>
  <r>
    <x v="958"/>
    <d v="2025-05-21T00:00:00"/>
    <x v="1"/>
    <s v="East"/>
    <s v="Mobile"/>
    <s v="Organic"/>
    <x v="1"/>
  </r>
  <r>
    <x v="959"/>
    <d v="2025-05-16T00:00:00"/>
    <x v="1"/>
    <s v="North"/>
    <s v="Mobile"/>
    <s v="Referral"/>
    <x v="2"/>
  </r>
  <r>
    <x v="960"/>
    <d v="2025-05-24T00:00:00"/>
    <x v="1"/>
    <s v="East"/>
    <s v="Desktop"/>
    <s v="Organic"/>
    <x v="2"/>
  </r>
  <r>
    <x v="961"/>
    <d v="2025-03-18T00:00:00"/>
    <x v="1"/>
    <s v="East"/>
    <s v="Mobile"/>
    <s v="Organic"/>
    <x v="0"/>
  </r>
  <r>
    <x v="962"/>
    <d v="2025-01-11T00:00:00"/>
    <x v="1"/>
    <s v="East"/>
    <s v="Desktop"/>
    <s v="Paid Search"/>
    <x v="1"/>
  </r>
  <r>
    <x v="963"/>
    <d v="2025-02-09T00:00:00"/>
    <x v="1"/>
    <s v="South"/>
    <s v="Mobile"/>
    <s v="Organic"/>
    <x v="0"/>
  </r>
  <r>
    <x v="964"/>
    <d v="2025-03-01T00:00:00"/>
    <x v="1"/>
    <s v="North"/>
    <s v="Desktop"/>
    <s v="Social"/>
    <x v="1"/>
  </r>
  <r>
    <x v="965"/>
    <d v="2025-05-07T00:00:00"/>
    <x v="1"/>
    <s v="North"/>
    <s v="Mobile"/>
    <s v="Organic"/>
    <x v="0"/>
  </r>
  <r>
    <x v="966"/>
    <d v="2025-02-19T00:00:00"/>
    <x v="1"/>
    <s v="South"/>
    <s v="Desktop"/>
    <m/>
    <x v="1"/>
  </r>
  <r>
    <x v="967"/>
    <d v="2025-02-26T00:00:00"/>
    <x v="1"/>
    <s v="West"/>
    <s v="Mobile"/>
    <s v="Organic"/>
    <x v="2"/>
  </r>
  <r>
    <x v="968"/>
    <d v="2025-03-23T00:00:00"/>
    <x v="1"/>
    <s v="South"/>
    <s v="Mobile"/>
    <s v="Social"/>
    <x v="1"/>
  </r>
  <r>
    <x v="969"/>
    <d v="2025-04-25T00:00:00"/>
    <x v="1"/>
    <s v="South"/>
    <s v="Desktop"/>
    <s v="Social"/>
    <x v="1"/>
  </r>
  <r>
    <x v="970"/>
    <d v="2025-05-10T00:00:00"/>
    <x v="1"/>
    <s v="North"/>
    <s v="Desktop"/>
    <s v="Social"/>
    <x v="1"/>
  </r>
  <r>
    <x v="971"/>
    <d v="2025-04-22T00:00:00"/>
    <x v="1"/>
    <s v="East"/>
    <s v="Mobile"/>
    <s v="Paid Search"/>
    <x v="2"/>
  </r>
  <r>
    <x v="972"/>
    <d v="2025-02-18T00:00:00"/>
    <x v="1"/>
    <s v="West"/>
    <s v="Mobile"/>
    <s v="Referral"/>
    <x v="0"/>
  </r>
  <r>
    <x v="973"/>
    <d v="2025-01-26T00:00:00"/>
    <x v="1"/>
    <s v="South"/>
    <s v="Mobile"/>
    <s v="Paid Search"/>
    <x v="2"/>
  </r>
  <r>
    <x v="974"/>
    <d v="2025-04-28T00:00:00"/>
    <x v="1"/>
    <s v="North"/>
    <s v="Mobile"/>
    <s v="Organic"/>
    <x v="1"/>
  </r>
  <r>
    <x v="975"/>
    <d v="2025-04-02T00:00:00"/>
    <x v="1"/>
    <s v="South"/>
    <s v="Desktop"/>
    <s v="Email"/>
    <x v="0"/>
  </r>
  <r>
    <x v="976"/>
    <d v="2025-04-12T00:00:00"/>
    <x v="1"/>
    <s v="South"/>
    <s v="Desktop"/>
    <s v="Email"/>
    <x v="2"/>
  </r>
  <r>
    <x v="977"/>
    <d v="2025-01-03T00:00:00"/>
    <x v="1"/>
    <s v="West"/>
    <s v="Desktop"/>
    <s v="Email"/>
    <x v="0"/>
  </r>
  <r>
    <x v="978"/>
    <d v="2025-05-08T00:00:00"/>
    <x v="1"/>
    <s v="North"/>
    <s v="Mobile"/>
    <s v="Paid Search"/>
    <x v="1"/>
  </r>
  <r>
    <x v="979"/>
    <d v="2025-02-20T00:00:00"/>
    <x v="1"/>
    <s v="North"/>
    <s v="Mobile"/>
    <s v="Referral"/>
    <x v="2"/>
  </r>
  <r>
    <x v="980"/>
    <d v="2025-03-17T00:00:00"/>
    <x v="1"/>
    <s v="North"/>
    <s v="Desktop"/>
    <s v="Paid Search"/>
    <x v="2"/>
  </r>
  <r>
    <x v="981"/>
    <d v="2025-04-10T00:00:00"/>
    <x v="1"/>
    <s v="South"/>
    <s v="Desktop"/>
    <s v="Email"/>
    <x v="1"/>
  </r>
  <r>
    <x v="982"/>
    <d v="2025-05-08T00:00:00"/>
    <x v="1"/>
    <s v="North"/>
    <s v="Desktop"/>
    <s v="Referral"/>
    <x v="1"/>
  </r>
  <r>
    <x v="983"/>
    <d v="2025-04-19T00:00:00"/>
    <x v="1"/>
    <s v="West"/>
    <s v="Mobile"/>
    <s v="Paid Search"/>
    <x v="0"/>
  </r>
  <r>
    <x v="984"/>
    <d v="2025-01-01T00:00:00"/>
    <x v="1"/>
    <s v="South"/>
    <s v="Tablet"/>
    <s v="Paid Search"/>
    <x v="0"/>
  </r>
  <r>
    <x v="985"/>
    <d v="2025-03-10T00:00:00"/>
    <x v="1"/>
    <s v="East"/>
    <s v="Mobile"/>
    <s v="Paid Search"/>
    <x v="1"/>
  </r>
  <r>
    <x v="986"/>
    <d v="2025-03-10T00:00:00"/>
    <x v="1"/>
    <s v="East"/>
    <s v="Tablet"/>
    <s v="Social"/>
    <x v="2"/>
  </r>
  <r>
    <x v="987"/>
    <d v="2025-04-19T00:00:00"/>
    <x v="1"/>
    <s v="West"/>
    <s v="Tablet"/>
    <s v="Email"/>
    <x v="0"/>
  </r>
  <r>
    <x v="988"/>
    <d v="2025-04-11T00:00:00"/>
    <x v="1"/>
    <s v="West"/>
    <s v="Desktop"/>
    <s v="Organic"/>
    <x v="1"/>
  </r>
  <r>
    <x v="989"/>
    <d v="2025-04-10T00:00:00"/>
    <x v="1"/>
    <s v="East"/>
    <s v="Mobile"/>
    <s v="Organic"/>
    <x v="0"/>
  </r>
  <r>
    <x v="990"/>
    <d v="2025-01-13T00:00:00"/>
    <x v="1"/>
    <s v="West"/>
    <s v="Desktop"/>
    <s v="Social"/>
    <x v="1"/>
  </r>
  <r>
    <x v="991"/>
    <d v="2025-03-28T00:00:00"/>
    <x v="1"/>
    <s v="South"/>
    <s v="Desktop"/>
    <s v="Organic"/>
    <x v="1"/>
  </r>
  <r>
    <x v="992"/>
    <d v="2025-01-29T00:00:00"/>
    <x v="1"/>
    <s v="East"/>
    <s v="Mobile"/>
    <s v="Paid Search"/>
    <x v="1"/>
  </r>
  <r>
    <x v="993"/>
    <d v="2025-03-27T00:00:00"/>
    <x v="1"/>
    <s v="South"/>
    <s v="Mobile"/>
    <s v="Referral"/>
    <x v="1"/>
  </r>
  <r>
    <x v="994"/>
    <d v="2025-03-20T00:00:00"/>
    <x v="1"/>
    <s v="East"/>
    <s v="Tablet"/>
    <s v="Social"/>
    <x v="1"/>
  </r>
  <r>
    <x v="995"/>
    <d v="2025-01-09T00:00:00"/>
    <x v="1"/>
    <s v="North"/>
    <s v="Mobile"/>
    <s v="Paid Search"/>
    <x v="0"/>
  </r>
  <r>
    <x v="996"/>
    <d v="2025-04-25T00:00:00"/>
    <x v="1"/>
    <s v="West"/>
    <s v="Mobile"/>
    <s v="Social"/>
    <x v="1"/>
  </r>
  <r>
    <x v="997"/>
    <d v="2025-04-11T00:00:00"/>
    <x v="1"/>
    <s v="South"/>
    <s v="Desktop"/>
    <s v="Social"/>
    <x v="1"/>
  </r>
  <r>
    <x v="998"/>
    <d v="2025-02-05T00:00:00"/>
    <x v="1"/>
    <s v="East"/>
    <s v="Mobile"/>
    <s v="Social"/>
    <x v="0"/>
  </r>
  <r>
    <x v="999"/>
    <d v="2025-03-28T00:00:00"/>
    <x v="1"/>
    <s v="South"/>
    <s v="Mobile"/>
    <s v="Social"/>
    <x v="2"/>
  </r>
  <r>
    <x v="1000"/>
    <d v="2025-05-14T00:00:00"/>
    <x v="1"/>
    <s v="South"/>
    <s v="Mobile"/>
    <s v="Referral"/>
    <x v="1"/>
  </r>
  <r>
    <x v="1001"/>
    <d v="2025-03-10T00:00:00"/>
    <x v="1"/>
    <s v="East"/>
    <s v="Mobile"/>
    <s v="Paid Search"/>
    <x v="0"/>
  </r>
  <r>
    <x v="1002"/>
    <d v="2025-04-09T00:00:00"/>
    <x v="1"/>
    <s v="East"/>
    <s v="Desktop"/>
    <s v="Paid Search"/>
    <x v="1"/>
  </r>
  <r>
    <x v="1003"/>
    <d v="2025-02-13T00:00:00"/>
    <x v="1"/>
    <s v="North"/>
    <s v="Mobile"/>
    <s v="Referral"/>
    <x v="0"/>
  </r>
  <r>
    <x v="1004"/>
    <d v="2025-05-03T00:00:00"/>
    <x v="1"/>
    <s v="East"/>
    <s v="Mobile"/>
    <s v="Email"/>
    <x v="1"/>
  </r>
  <r>
    <x v="1005"/>
    <d v="2025-04-16T00:00:00"/>
    <x v="1"/>
    <s v="South"/>
    <s v="Desktop"/>
    <s v="Referral"/>
    <x v="2"/>
  </r>
  <r>
    <x v="1006"/>
    <d v="2025-04-30T00:00:00"/>
    <x v="1"/>
    <s v="North"/>
    <s v="Mobile"/>
    <s v="Paid Search"/>
    <x v="2"/>
  </r>
  <r>
    <x v="1007"/>
    <d v="2025-02-18T00:00:00"/>
    <x v="1"/>
    <s v="West"/>
    <s v="Desktop"/>
    <s v="Organic"/>
    <x v="1"/>
  </r>
  <r>
    <x v="1008"/>
    <d v="2025-05-22T00:00:00"/>
    <x v="1"/>
    <s v="West"/>
    <s v="Desktop"/>
    <s v="Referral"/>
    <x v="0"/>
  </r>
  <r>
    <x v="1009"/>
    <d v="2025-05-21T00:00:00"/>
    <x v="1"/>
    <s v="South"/>
    <s v="Desktop"/>
    <s v="Organic"/>
    <x v="1"/>
  </r>
  <r>
    <x v="1010"/>
    <d v="2025-04-10T00:00:00"/>
    <x v="1"/>
    <s v="East"/>
    <s v="Desktop"/>
    <s v="Organic"/>
    <x v="1"/>
  </r>
  <r>
    <x v="1011"/>
    <d v="2025-01-07T00:00:00"/>
    <x v="1"/>
    <s v="North"/>
    <s v="Desktop"/>
    <s v="Organic"/>
    <x v="2"/>
  </r>
  <r>
    <x v="1012"/>
    <d v="2025-02-03T00:00:00"/>
    <x v="1"/>
    <s v="South"/>
    <s v="Desktop"/>
    <s v="Social"/>
    <x v="1"/>
  </r>
  <r>
    <x v="1013"/>
    <d v="2025-05-18T00:00:00"/>
    <x v="1"/>
    <s v="North"/>
    <s v="Mobile"/>
    <s v="Paid Search"/>
    <x v="1"/>
  </r>
  <r>
    <x v="1014"/>
    <d v="2025-01-31T00:00:00"/>
    <x v="1"/>
    <s v="North"/>
    <s v="Mobile"/>
    <s v="Referral"/>
    <x v="1"/>
  </r>
  <r>
    <x v="1015"/>
    <d v="2025-01-16T00:00:00"/>
    <x v="1"/>
    <s v="South"/>
    <s v="Desktop"/>
    <s v="Organic"/>
    <x v="0"/>
  </r>
  <r>
    <x v="1016"/>
    <d v="2025-05-14T00:00:00"/>
    <x v="1"/>
    <s v="East"/>
    <s v="Mobile"/>
    <s v="Paid Search"/>
    <x v="0"/>
  </r>
  <r>
    <x v="1017"/>
    <d v="2025-04-01T00:00:00"/>
    <x v="1"/>
    <s v="South"/>
    <s v="Mobile"/>
    <m/>
    <x v="0"/>
  </r>
  <r>
    <x v="1018"/>
    <d v="2025-04-23T00:00:00"/>
    <x v="1"/>
    <s v="South"/>
    <s v="Mobile"/>
    <s v="Organic"/>
    <x v="1"/>
  </r>
  <r>
    <x v="1019"/>
    <d v="2025-03-02T00:00:00"/>
    <x v="1"/>
    <s v="South"/>
    <s v="Desktop"/>
    <s v="Paid Search"/>
    <x v="0"/>
  </r>
  <r>
    <x v="1020"/>
    <d v="2025-01-02T00:00:00"/>
    <x v="1"/>
    <s v="East"/>
    <s v="Mobile"/>
    <s v="Paid Search"/>
    <x v="0"/>
  </r>
  <r>
    <x v="1021"/>
    <d v="2025-05-04T00:00:00"/>
    <x v="1"/>
    <s v="South"/>
    <s v="Mobile"/>
    <s v="Organic"/>
    <x v="1"/>
  </r>
  <r>
    <x v="1022"/>
    <d v="2025-01-16T00:00:00"/>
    <x v="1"/>
    <s v="East"/>
    <s v="Desktop"/>
    <s v="Paid Search"/>
    <x v="0"/>
  </r>
  <r>
    <x v="1023"/>
    <d v="2025-02-11T00:00:00"/>
    <x v="1"/>
    <s v="West"/>
    <s v="Tablet"/>
    <s v="Paid Search"/>
    <x v="2"/>
  </r>
  <r>
    <x v="1024"/>
    <d v="2025-04-03T00:00:00"/>
    <x v="1"/>
    <s v="North"/>
    <s v="Mobile"/>
    <s v="Social"/>
    <x v="2"/>
  </r>
  <r>
    <x v="1025"/>
    <d v="2025-03-26T00:00:00"/>
    <x v="1"/>
    <s v="East"/>
    <s v="Mobile"/>
    <s v="Referral"/>
    <x v="1"/>
  </r>
  <r>
    <x v="1026"/>
    <d v="2025-05-16T00:00:00"/>
    <x v="1"/>
    <s v="South"/>
    <s v="Mobile"/>
    <s v="Email"/>
    <x v="2"/>
  </r>
  <r>
    <x v="1027"/>
    <d v="2025-04-20T00:00:00"/>
    <x v="1"/>
    <s v="West"/>
    <s v="Mobile"/>
    <s v="Social"/>
    <x v="1"/>
  </r>
  <r>
    <x v="1028"/>
    <d v="2025-04-15T00:00:00"/>
    <x v="1"/>
    <s v="West"/>
    <s v="Mobile"/>
    <s v="Paid Search"/>
    <x v="1"/>
  </r>
  <r>
    <x v="1029"/>
    <d v="2025-01-24T00:00:00"/>
    <x v="1"/>
    <s v="North"/>
    <s v="Mobile"/>
    <s v="Organic"/>
    <x v="2"/>
  </r>
  <r>
    <x v="1030"/>
    <d v="2025-04-11T00:00:00"/>
    <x v="1"/>
    <s v="South"/>
    <s v="Mobile"/>
    <s v="Referral"/>
    <x v="0"/>
  </r>
  <r>
    <x v="1031"/>
    <d v="2025-05-19T00:00:00"/>
    <x v="1"/>
    <s v="North"/>
    <s v="Mobile"/>
    <s v="Paid Search"/>
    <x v="1"/>
  </r>
  <r>
    <x v="1032"/>
    <d v="2025-01-14T00:00:00"/>
    <x v="1"/>
    <s v="North"/>
    <s v="Mobile"/>
    <s v="Organic"/>
    <x v="0"/>
  </r>
  <r>
    <x v="1033"/>
    <d v="2025-02-28T00:00:00"/>
    <x v="1"/>
    <s v="East"/>
    <s v="Desktop"/>
    <s v="Organic"/>
    <x v="0"/>
  </r>
  <r>
    <x v="1034"/>
    <d v="2025-05-18T00:00:00"/>
    <x v="1"/>
    <s v="East"/>
    <s v="Tablet"/>
    <s v="Paid Search"/>
    <x v="0"/>
  </r>
  <r>
    <x v="1035"/>
    <d v="2025-01-04T00:00:00"/>
    <x v="1"/>
    <s v="North"/>
    <s v="Mobile"/>
    <s v="Social"/>
    <x v="1"/>
  </r>
  <r>
    <x v="1036"/>
    <d v="2025-01-16T00:00:00"/>
    <x v="1"/>
    <s v="West"/>
    <s v="Mobile"/>
    <s v="Social"/>
    <x v="2"/>
  </r>
  <r>
    <x v="1037"/>
    <d v="2025-03-14T00:00:00"/>
    <x v="1"/>
    <s v="West"/>
    <s v="Mobile"/>
    <s v="Social"/>
    <x v="2"/>
  </r>
  <r>
    <x v="1038"/>
    <d v="2025-01-23T00:00:00"/>
    <x v="1"/>
    <s v="East"/>
    <s v="Mobile"/>
    <s v="Paid Search"/>
    <x v="0"/>
  </r>
  <r>
    <x v="1039"/>
    <d v="2025-02-03T00:00:00"/>
    <x v="1"/>
    <s v="North"/>
    <s v="Desktop"/>
    <s v="Organic"/>
    <x v="0"/>
  </r>
  <r>
    <x v="1040"/>
    <d v="2025-05-16T00:00:00"/>
    <x v="1"/>
    <s v="East"/>
    <s v="Mobile"/>
    <s v="Referral"/>
    <x v="1"/>
  </r>
  <r>
    <x v="1041"/>
    <d v="2025-01-11T00:00:00"/>
    <x v="1"/>
    <s v="West"/>
    <s v="Mobile"/>
    <s v="Organic"/>
    <x v="0"/>
  </r>
  <r>
    <x v="1042"/>
    <d v="2025-05-25T00:00:00"/>
    <x v="1"/>
    <s v="North"/>
    <s v="Desktop"/>
    <s v="Organic"/>
    <x v="1"/>
  </r>
  <r>
    <x v="1043"/>
    <d v="2025-05-08T00:00:00"/>
    <x v="1"/>
    <s v="East"/>
    <s v="Mobile"/>
    <s v="Paid Search"/>
    <x v="2"/>
  </r>
  <r>
    <x v="1044"/>
    <d v="2025-02-26T00:00:00"/>
    <x v="1"/>
    <s v="East"/>
    <s v="Desktop"/>
    <m/>
    <x v="0"/>
  </r>
  <r>
    <x v="1045"/>
    <d v="2025-03-30T00:00:00"/>
    <x v="1"/>
    <s v="North"/>
    <s v="Mobile"/>
    <s v="Paid Search"/>
    <x v="1"/>
  </r>
  <r>
    <x v="1046"/>
    <d v="2025-04-13T00:00:00"/>
    <x v="1"/>
    <s v="West"/>
    <s v="Mobile"/>
    <s v="Organic"/>
    <x v="0"/>
  </r>
  <r>
    <x v="1047"/>
    <d v="2025-02-20T00:00:00"/>
    <x v="1"/>
    <s v="East"/>
    <m/>
    <s v="Paid Search"/>
    <x v="0"/>
  </r>
  <r>
    <x v="1048"/>
    <d v="2025-04-19T00:00:00"/>
    <x v="1"/>
    <s v="West"/>
    <s v="Desktop"/>
    <s v="Social"/>
    <x v="1"/>
  </r>
  <r>
    <x v="1049"/>
    <d v="2025-03-22T00:00:00"/>
    <x v="1"/>
    <s v="South"/>
    <s v="Mobile"/>
    <s v="Paid Search"/>
    <x v="1"/>
  </r>
  <r>
    <x v="1050"/>
    <d v="2025-02-28T00:00:00"/>
    <x v="1"/>
    <s v="North"/>
    <s v="Mobile"/>
    <s v="Email"/>
    <x v="0"/>
  </r>
  <r>
    <x v="1051"/>
    <d v="2025-05-24T00:00:00"/>
    <x v="1"/>
    <s v="East"/>
    <s v="Mobile"/>
    <s v="Social"/>
    <x v="1"/>
  </r>
  <r>
    <x v="1052"/>
    <d v="2025-02-03T00:00:00"/>
    <x v="1"/>
    <s v="North"/>
    <s v="Desktop"/>
    <s v="Email"/>
    <x v="1"/>
  </r>
  <r>
    <x v="1053"/>
    <d v="2025-01-27T00:00:00"/>
    <x v="1"/>
    <s v="South"/>
    <s v="Mobile"/>
    <s v="Organic"/>
    <x v="1"/>
  </r>
  <r>
    <x v="1054"/>
    <d v="2025-04-17T00:00:00"/>
    <x v="1"/>
    <s v="East"/>
    <s v="Mobile"/>
    <s v="Organic"/>
    <x v="1"/>
  </r>
  <r>
    <x v="1055"/>
    <d v="2025-02-06T00:00:00"/>
    <x v="1"/>
    <s v="West"/>
    <s v="Mobile"/>
    <s v="Social"/>
    <x v="1"/>
  </r>
  <r>
    <x v="1056"/>
    <d v="2025-04-20T00:00:00"/>
    <x v="1"/>
    <s v="South"/>
    <s v="Mobile"/>
    <s v="Paid Search"/>
    <x v="1"/>
  </r>
  <r>
    <x v="1057"/>
    <d v="2025-05-06T00:00:00"/>
    <x v="1"/>
    <s v="North"/>
    <s v="Mobile"/>
    <s v="Paid Search"/>
    <x v="0"/>
  </r>
  <r>
    <x v="1058"/>
    <d v="2025-05-16T00:00:00"/>
    <x v="1"/>
    <s v="South"/>
    <s v="Mobile"/>
    <s v="Organic"/>
    <x v="1"/>
  </r>
  <r>
    <x v="1059"/>
    <d v="2025-03-02T00:00:00"/>
    <x v="1"/>
    <s v="South"/>
    <s v="Mobile"/>
    <s v="Paid Search"/>
    <x v="2"/>
  </r>
  <r>
    <x v="1060"/>
    <d v="2025-04-09T00:00:00"/>
    <x v="1"/>
    <s v="West"/>
    <s v="Mobile"/>
    <s v="Social"/>
    <x v="1"/>
  </r>
  <r>
    <x v="1061"/>
    <d v="2025-01-26T00:00:00"/>
    <x v="1"/>
    <s v="East"/>
    <s v="Mobile"/>
    <s v="Paid Search"/>
    <x v="1"/>
  </r>
  <r>
    <x v="1062"/>
    <d v="2025-02-25T00:00:00"/>
    <x v="1"/>
    <s v="South"/>
    <s v="Mobile"/>
    <s v="Paid Search"/>
    <x v="0"/>
  </r>
  <r>
    <x v="1063"/>
    <d v="2025-01-07T00:00:00"/>
    <x v="1"/>
    <s v="East"/>
    <s v="Mobile"/>
    <s v="Organic"/>
    <x v="2"/>
  </r>
  <r>
    <x v="1064"/>
    <d v="2025-03-08T00:00:00"/>
    <x v="1"/>
    <s v="South"/>
    <s v="Mobile"/>
    <s v="Social"/>
    <x v="0"/>
  </r>
  <r>
    <x v="1065"/>
    <d v="2025-05-22T00:00:00"/>
    <x v="1"/>
    <s v="East"/>
    <s v="Mobile"/>
    <s v="Referral"/>
    <x v="1"/>
  </r>
  <r>
    <x v="1066"/>
    <d v="2025-04-18T00:00:00"/>
    <x v="1"/>
    <s v="East"/>
    <s v="Mobile"/>
    <s v="Paid Search"/>
    <x v="2"/>
  </r>
  <r>
    <x v="1067"/>
    <d v="2025-02-24T00:00:00"/>
    <x v="1"/>
    <s v="West"/>
    <s v="Mobile"/>
    <s v="Referral"/>
    <x v="0"/>
  </r>
  <r>
    <x v="1068"/>
    <d v="2025-02-11T00:00:00"/>
    <x v="1"/>
    <s v="North"/>
    <s v="Mobile"/>
    <s v="Organic"/>
    <x v="1"/>
  </r>
  <r>
    <x v="1069"/>
    <d v="2025-03-11T00:00:00"/>
    <x v="1"/>
    <s v="West"/>
    <s v="Desktop"/>
    <s v="Paid Search"/>
    <x v="1"/>
  </r>
  <r>
    <x v="1070"/>
    <d v="2025-04-11T00:00:00"/>
    <x v="1"/>
    <s v="East"/>
    <s v="Tablet"/>
    <s v="Referral"/>
    <x v="1"/>
  </r>
  <r>
    <x v="1071"/>
    <d v="2025-03-11T00:00:00"/>
    <x v="1"/>
    <s v="North"/>
    <s v="Mobile"/>
    <s v="Organic"/>
    <x v="1"/>
  </r>
  <r>
    <x v="1072"/>
    <d v="2025-05-22T00:00:00"/>
    <x v="1"/>
    <s v="East"/>
    <s v="Mobile"/>
    <s v="Referral"/>
    <x v="1"/>
  </r>
  <r>
    <x v="1073"/>
    <d v="2025-02-22T00:00:00"/>
    <x v="1"/>
    <s v="South"/>
    <s v="Desktop"/>
    <s v="Organic"/>
    <x v="1"/>
  </r>
  <r>
    <x v="1074"/>
    <d v="2025-01-13T00:00:00"/>
    <x v="1"/>
    <s v="East"/>
    <s v="Mobile"/>
    <s v="Paid Search"/>
    <x v="0"/>
  </r>
  <r>
    <x v="1075"/>
    <d v="2025-05-19T00:00:00"/>
    <x v="1"/>
    <s v="South"/>
    <s v="Mobile"/>
    <s v="Organic"/>
    <x v="1"/>
  </r>
  <r>
    <x v="1076"/>
    <d v="2025-03-08T00:00:00"/>
    <x v="1"/>
    <s v="North"/>
    <s v="Tablet"/>
    <s v="Organic"/>
    <x v="0"/>
  </r>
  <r>
    <x v="1077"/>
    <d v="2025-04-20T00:00:00"/>
    <x v="1"/>
    <s v="South"/>
    <s v="Mobile"/>
    <s v="Organic"/>
    <x v="1"/>
  </r>
  <r>
    <x v="1078"/>
    <d v="2025-05-08T00:00:00"/>
    <x v="1"/>
    <s v="West"/>
    <s v="Mobile"/>
    <s v="Email"/>
    <x v="0"/>
  </r>
  <r>
    <x v="1079"/>
    <d v="2025-05-10T00:00:00"/>
    <x v="1"/>
    <s v="South"/>
    <s v="Mobile"/>
    <s v="Organic"/>
    <x v="0"/>
  </r>
  <r>
    <x v="1080"/>
    <d v="2025-03-28T00:00:00"/>
    <x v="1"/>
    <s v="East"/>
    <s v="Mobile"/>
    <s v="Organic"/>
    <x v="1"/>
  </r>
  <r>
    <x v="1081"/>
    <d v="2025-04-30T00:00:00"/>
    <x v="1"/>
    <s v="East"/>
    <s v="Mobile"/>
    <s v="Paid Search"/>
    <x v="2"/>
  </r>
  <r>
    <x v="1082"/>
    <d v="2025-02-08T00:00:00"/>
    <x v="1"/>
    <s v="North"/>
    <s v="Mobile"/>
    <s v="Organic"/>
    <x v="0"/>
  </r>
  <r>
    <x v="1083"/>
    <d v="2025-03-07T00:00:00"/>
    <x v="1"/>
    <s v="South"/>
    <s v="Mobile"/>
    <s v="Referral"/>
    <x v="2"/>
  </r>
  <r>
    <x v="1084"/>
    <d v="2025-05-21T00:00:00"/>
    <x v="1"/>
    <s v="South"/>
    <s v="Mobile"/>
    <s v="Social"/>
    <x v="0"/>
  </r>
  <r>
    <x v="1085"/>
    <d v="2025-04-12T00:00:00"/>
    <x v="1"/>
    <s v="South"/>
    <s v="Mobile"/>
    <s v="Social"/>
    <x v="1"/>
  </r>
  <r>
    <x v="1086"/>
    <d v="2025-02-02T00:00:00"/>
    <x v="1"/>
    <s v="South"/>
    <s v="Mobile"/>
    <s v="Paid Search"/>
    <x v="1"/>
  </r>
  <r>
    <x v="1087"/>
    <d v="2025-04-22T00:00:00"/>
    <x v="1"/>
    <s v="North"/>
    <s v="Tablet"/>
    <s v="Referral"/>
    <x v="1"/>
  </r>
  <r>
    <x v="1088"/>
    <d v="2025-02-08T00:00:00"/>
    <x v="1"/>
    <s v="North"/>
    <s v="Mobile"/>
    <s v="Social"/>
    <x v="0"/>
  </r>
  <r>
    <x v="1089"/>
    <d v="2025-01-24T00:00:00"/>
    <x v="1"/>
    <s v="South"/>
    <s v="Desktop"/>
    <s v="Email"/>
    <x v="1"/>
  </r>
  <r>
    <x v="1090"/>
    <d v="2025-05-12T00:00:00"/>
    <x v="1"/>
    <s v="South"/>
    <s v="Mobile"/>
    <s v="Paid Search"/>
    <x v="0"/>
  </r>
  <r>
    <x v="1091"/>
    <d v="2025-03-30T00:00:00"/>
    <x v="1"/>
    <s v="North"/>
    <s v="Mobile"/>
    <s v="Organic"/>
    <x v="0"/>
  </r>
  <r>
    <x v="1092"/>
    <d v="2025-01-02T00:00:00"/>
    <x v="1"/>
    <s v="South"/>
    <s v="Desktop"/>
    <s v="Paid Search"/>
    <x v="0"/>
  </r>
  <r>
    <x v="1093"/>
    <d v="2025-03-21T00:00:00"/>
    <x v="1"/>
    <s v="South"/>
    <s v="Tablet"/>
    <s v="Email"/>
    <x v="0"/>
  </r>
  <r>
    <x v="1094"/>
    <d v="2025-01-25T00:00:00"/>
    <x v="1"/>
    <s v="West"/>
    <s v="Mobile"/>
    <s v="Organic"/>
    <x v="1"/>
  </r>
  <r>
    <x v="1095"/>
    <d v="2025-01-12T00:00:00"/>
    <x v="1"/>
    <s v="South"/>
    <s v="Tablet"/>
    <s v="Social"/>
    <x v="1"/>
  </r>
  <r>
    <x v="1096"/>
    <d v="2025-03-18T00:00:00"/>
    <x v="1"/>
    <s v="East"/>
    <s v="Desktop"/>
    <s v="Referral"/>
    <x v="1"/>
  </r>
  <r>
    <x v="1097"/>
    <d v="2025-03-26T00:00:00"/>
    <x v="1"/>
    <s v="East"/>
    <s v="Mobile"/>
    <s v="Paid Search"/>
    <x v="0"/>
  </r>
  <r>
    <x v="1098"/>
    <d v="2025-04-19T00:00:00"/>
    <x v="1"/>
    <s v="North"/>
    <s v="Mobile"/>
    <s v="Paid Search"/>
    <x v="0"/>
  </r>
  <r>
    <x v="1099"/>
    <d v="2025-04-17T00:00:00"/>
    <x v="1"/>
    <s v="East"/>
    <s v="Mobile"/>
    <s v="Organic"/>
    <x v="2"/>
  </r>
  <r>
    <x v="1100"/>
    <d v="2025-05-26T00:00:00"/>
    <x v="1"/>
    <s v="South"/>
    <s v="Mobile"/>
    <s v="Paid Search"/>
    <x v="1"/>
  </r>
  <r>
    <x v="1101"/>
    <d v="2025-04-14T00:00:00"/>
    <x v="1"/>
    <s v="North"/>
    <s v="Mobile"/>
    <s v="Social"/>
    <x v="2"/>
  </r>
  <r>
    <x v="1102"/>
    <d v="2025-01-23T00:00:00"/>
    <x v="1"/>
    <s v="South"/>
    <s v="Mobile"/>
    <s v="Organic"/>
    <x v="0"/>
  </r>
  <r>
    <x v="1103"/>
    <d v="2025-01-06T00:00:00"/>
    <x v="1"/>
    <s v="East"/>
    <s v="Mobile"/>
    <s v="Referral"/>
    <x v="1"/>
  </r>
  <r>
    <x v="1104"/>
    <d v="2025-05-31T00:00:00"/>
    <x v="1"/>
    <s v="West"/>
    <s v="Mobile"/>
    <s v="Email"/>
    <x v="0"/>
  </r>
  <r>
    <x v="1105"/>
    <d v="2025-05-19T00:00:00"/>
    <x v="1"/>
    <s v="North"/>
    <s v="Mobile"/>
    <s v="Organic"/>
    <x v="0"/>
  </r>
  <r>
    <x v="1106"/>
    <d v="2025-02-25T00:00:00"/>
    <x v="1"/>
    <s v="North"/>
    <s v="Mobile"/>
    <s v="Organic"/>
    <x v="1"/>
  </r>
  <r>
    <x v="1107"/>
    <d v="2025-01-10T00:00:00"/>
    <x v="1"/>
    <s v="South"/>
    <s v="Tablet"/>
    <s v="Organic"/>
    <x v="0"/>
  </r>
  <r>
    <x v="1108"/>
    <d v="2025-05-13T00:00:00"/>
    <x v="1"/>
    <s v="North"/>
    <s v="Tablet"/>
    <s v="Paid Search"/>
    <x v="1"/>
  </r>
  <r>
    <x v="1109"/>
    <d v="2025-04-27T00:00:00"/>
    <x v="1"/>
    <s v="West"/>
    <s v="Desktop"/>
    <s v="Organic"/>
    <x v="2"/>
  </r>
  <r>
    <x v="1110"/>
    <d v="2025-04-03T00:00:00"/>
    <x v="1"/>
    <s v="South"/>
    <s v="Mobile"/>
    <s v="Organic"/>
    <x v="1"/>
  </r>
  <r>
    <x v="1111"/>
    <d v="2025-03-26T00:00:00"/>
    <x v="1"/>
    <s v="South"/>
    <s v="Mobile"/>
    <s v="Organic"/>
    <x v="1"/>
  </r>
  <r>
    <x v="1112"/>
    <d v="2025-01-31T00:00:00"/>
    <x v="1"/>
    <s v="South"/>
    <s v="Mobile"/>
    <s v="Organic"/>
    <x v="0"/>
  </r>
  <r>
    <x v="1113"/>
    <d v="2025-01-25T00:00:00"/>
    <x v="1"/>
    <s v="South"/>
    <s v="Mobile"/>
    <s v="Social"/>
    <x v="1"/>
  </r>
  <r>
    <x v="1114"/>
    <d v="2025-02-06T00:00:00"/>
    <x v="1"/>
    <s v="West"/>
    <s v="Mobile"/>
    <s v="Referral"/>
    <x v="0"/>
  </r>
  <r>
    <x v="1115"/>
    <d v="2025-03-10T00:00:00"/>
    <x v="1"/>
    <s v="East"/>
    <s v="Mobile"/>
    <s v="Paid Search"/>
    <x v="1"/>
  </r>
  <r>
    <x v="1116"/>
    <d v="2025-01-26T00:00:00"/>
    <x v="1"/>
    <s v="West"/>
    <s v="Mobile"/>
    <s v="Organic"/>
    <x v="0"/>
  </r>
  <r>
    <x v="1117"/>
    <d v="2025-01-01T00:00:00"/>
    <x v="1"/>
    <s v="East"/>
    <s v="Mobile"/>
    <s v="Paid Search"/>
    <x v="1"/>
  </r>
  <r>
    <x v="1118"/>
    <d v="2025-04-28T00:00:00"/>
    <x v="1"/>
    <s v="North"/>
    <s v="Desktop"/>
    <s v="Social"/>
    <x v="0"/>
  </r>
  <r>
    <x v="1119"/>
    <d v="2025-04-04T00:00:00"/>
    <x v="1"/>
    <s v="North"/>
    <s v="Mobile"/>
    <s v="Organic"/>
    <x v="2"/>
  </r>
  <r>
    <x v="1120"/>
    <d v="2025-03-02T00:00:00"/>
    <x v="1"/>
    <s v="East"/>
    <s v="Mobile"/>
    <s v="Paid Search"/>
    <x v="1"/>
  </r>
  <r>
    <x v="1121"/>
    <d v="2025-03-19T00:00:00"/>
    <x v="1"/>
    <s v="South"/>
    <s v="Tablet"/>
    <s v="Organic"/>
    <x v="0"/>
  </r>
  <r>
    <x v="1122"/>
    <d v="2025-01-20T00:00:00"/>
    <x v="1"/>
    <s v="South"/>
    <s v="Desktop"/>
    <s v="Organic"/>
    <x v="0"/>
  </r>
  <r>
    <x v="1123"/>
    <d v="2025-04-03T00:00:00"/>
    <x v="1"/>
    <s v="East"/>
    <s v="Mobile"/>
    <s v="Paid Search"/>
    <x v="1"/>
  </r>
  <r>
    <x v="1124"/>
    <d v="2025-01-11T00:00:00"/>
    <x v="1"/>
    <s v="East"/>
    <s v="Desktop"/>
    <s v="Social"/>
    <x v="1"/>
  </r>
  <r>
    <x v="1125"/>
    <d v="2025-02-02T00:00:00"/>
    <x v="1"/>
    <s v="West"/>
    <s v="Desktop"/>
    <s v="Social"/>
    <x v="0"/>
  </r>
  <r>
    <x v="1126"/>
    <d v="2025-04-01T00:00:00"/>
    <x v="1"/>
    <s v="South"/>
    <s v="Mobile"/>
    <s v="Organic"/>
    <x v="0"/>
  </r>
  <r>
    <x v="1127"/>
    <d v="2025-05-22T00:00:00"/>
    <x v="1"/>
    <s v="East"/>
    <s v="Mobile"/>
    <s v="Organic"/>
    <x v="0"/>
  </r>
  <r>
    <x v="1128"/>
    <d v="2025-02-20T00:00:00"/>
    <x v="1"/>
    <s v="West"/>
    <s v="Mobile"/>
    <s v="Organic"/>
    <x v="0"/>
  </r>
  <r>
    <x v="1129"/>
    <d v="2025-03-21T00:00:00"/>
    <x v="1"/>
    <s v="West"/>
    <s v="Mobile"/>
    <s v="Organic"/>
    <x v="1"/>
  </r>
  <r>
    <x v="1130"/>
    <d v="2025-05-01T00:00:00"/>
    <x v="1"/>
    <s v="West"/>
    <s v="Desktop"/>
    <s v="Referral"/>
    <x v="1"/>
  </r>
  <r>
    <x v="1131"/>
    <d v="2025-01-06T00:00:00"/>
    <x v="1"/>
    <s v="West"/>
    <s v="Mobile"/>
    <s v="Paid Search"/>
    <x v="0"/>
  </r>
  <r>
    <x v="1132"/>
    <d v="2025-04-12T00:00:00"/>
    <x v="1"/>
    <s v="North"/>
    <s v="Desktop"/>
    <s v="Paid Search"/>
    <x v="2"/>
  </r>
  <r>
    <x v="1133"/>
    <d v="2025-04-18T00:00:00"/>
    <x v="1"/>
    <s v="North"/>
    <s v="Mobile"/>
    <m/>
    <x v="0"/>
  </r>
  <r>
    <x v="1134"/>
    <d v="2025-03-24T00:00:00"/>
    <x v="1"/>
    <s v="East"/>
    <s v="Mobile"/>
    <s v="Social"/>
    <x v="0"/>
  </r>
  <r>
    <x v="1135"/>
    <d v="2025-03-18T00:00:00"/>
    <x v="1"/>
    <s v="East"/>
    <s v="Desktop"/>
    <s v="Email"/>
    <x v="2"/>
  </r>
  <r>
    <x v="1136"/>
    <d v="2025-04-30T00:00:00"/>
    <x v="1"/>
    <s v="South"/>
    <s v="Tablet"/>
    <s v="Paid Search"/>
    <x v="0"/>
  </r>
  <r>
    <x v="1137"/>
    <d v="2025-01-25T00:00:00"/>
    <x v="1"/>
    <s v="West"/>
    <s v="Mobile"/>
    <s v="Email"/>
    <x v="1"/>
  </r>
  <r>
    <x v="1138"/>
    <d v="2025-04-10T00:00:00"/>
    <x v="1"/>
    <s v="South"/>
    <s v="Mobile"/>
    <s v="Organic"/>
    <x v="1"/>
  </r>
  <r>
    <x v="1139"/>
    <d v="2025-01-10T00:00:00"/>
    <x v="1"/>
    <s v="West"/>
    <s v="Mobile"/>
    <s v="Social"/>
    <x v="1"/>
  </r>
  <r>
    <x v="1140"/>
    <d v="2025-02-11T00:00:00"/>
    <x v="1"/>
    <s v="South"/>
    <s v="Mobile"/>
    <s v="Paid Search"/>
    <x v="1"/>
  </r>
  <r>
    <x v="1141"/>
    <d v="2025-05-01T00:00:00"/>
    <x v="1"/>
    <s v="East"/>
    <s v="Mobile"/>
    <s v="Social"/>
    <x v="0"/>
  </r>
  <r>
    <x v="1142"/>
    <d v="2025-01-18T00:00:00"/>
    <x v="1"/>
    <s v="East"/>
    <s v="Mobile"/>
    <s v="Organic"/>
    <x v="1"/>
  </r>
  <r>
    <x v="1143"/>
    <d v="2025-01-02T00:00:00"/>
    <x v="1"/>
    <s v="North"/>
    <s v="Mobile"/>
    <s v="Paid Search"/>
    <x v="1"/>
  </r>
  <r>
    <x v="1144"/>
    <d v="2025-05-11T00:00:00"/>
    <x v="1"/>
    <s v="West"/>
    <s v="Mobile"/>
    <s v="Organic"/>
    <x v="1"/>
  </r>
  <r>
    <x v="1145"/>
    <d v="2025-03-22T00:00:00"/>
    <x v="1"/>
    <s v="North"/>
    <s v="Mobile"/>
    <s v="Referral"/>
    <x v="1"/>
  </r>
  <r>
    <x v="1146"/>
    <d v="2025-05-02T00:00:00"/>
    <x v="1"/>
    <s v="South"/>
    <s v="Mobile"/>
    <s v="Social"/>
    <x v="2"/>
  </r>
  <r>
    <x v="1147"/>
    <d v="2025-05-26T00:00:00"/>
    <x v="1"/>
    <s v="East"/>
    <s v="Desktop"/>
    <m/>
    <x v="0"/>
  </r>
  <r>
    <x v="1148"/>
    <d v="2025-03-13T00:00:00"/>
    <x v="1"/>
    <s v="South"/>
    <s v="Mobile"/>
    <s v="Organic"/>
    <x v="0"/>
  </r>
  <r>
    <x v="1149"/>
    <d v="2025-05-17T00:00:00"/>
    <x v="1"/>
    <s v="South"/>
    <s v="Desktop"/>
    <s v="Paid Search"/>
    <x v="1"/>
  </r>
  <r>
    <x v="1150"/>
    <d v="2025-03-13T00:00:00"/>
    <x v="1"/>
    <s v="North"/>
    <s v="Desktop"/>
    <s v="Referral"/>
    <x v="2"/>
  </r>
  <r>
    <x v="1151"/>
    <d v="2025-02-11T00:00:00"/>
    <x v="1"/>
    <s v="East"/>
    <s v="Desktop"/>
    <s v="Organic"/>
    <x v="0"/>
  </r>
  <r>
    <x v="1152"/>
    <d v="2025-03-01T00:00:00"/>
    <x v="1"/>
    <s v="West"/>
    <s v="Mobile"/>
    <s v="Social"/>
    <x v="1"/>
  </r>
  <r>
    <x v="1153"/>
    <d v="2025-04-15T00:00:00"/>
    <x v="1"/>
    <s v="West"/>
    <s v="Mobile"/>
    <s v="Organic"/>
    <x v="0"/>
  </r>
  <r>
    <x v="1154"/>
    <d v="2025-02-02T00:00:00"/>
    <x v="1"/>
    <s v="East"/>
    <s v="Mobile"/>
    <s v="Organic"/>
    <x v="2"/>
  </r>
  <r>
    <x v="1155"/>
    <d v="2025-05-19T00:00:00"/>
    <x v="1"/>
    <s v="South"/>
    <s v="Mobile"/>
    <s v="Email"/>
    <x v="1"/>
  </r>
  <r>
    <x v="1156"/>
    <d v="2025-01-05T00:00:00"/>
    <x v="1"/>
    <s v="West"/>
    <s v="Mobile"/>
    <s v="Referral"/>
    <x v="1"/>
  </r>
  <r>
    <x v="1157"/>
    <d v="2025-03-08T00:00:00"/>
    <x v="1"/>
    <s v="South"/>
    <s v="Mobile"/>
    <s v="Paid Search"/>
    <x v="1"/>
  </r>
  <r>
    <x v="1158"/>
    <d v="2025-03-12T00:00:00"/>
    <x v="1"/>
    <s v="West"/>
    <s v="Mobile"/>
    <s v="Email"/>
    <x v="0"/>
  </r>
  <r>
    <x v="1159"/>
    <d v="2025-01-24T00:00:00"/>
    <x v="1"/>
    <s v="West"/>
    <s v="Mobile"/>
    <s v="Organic"/>
    <x v="1"/>
  </r>
  <r>
    <x v="1160"/>
    <d v="2025-05-22T00:00:00"/>
    <x v="1"/>
    <s v="South"/>
    <s v="Mobile"/>
    <s v="Paid Search"/>
    <x v="0"/>
  </r>
  <r>
    <x v="1161"/>
    <d v="2025-03-27T00:00:00"/>
    <x v="1"/>
    <s v="South"/>
    <s v="Mobile"/>
    <s v="Paid Search"/>
    <x v="1"/>
  </r>
  <r>
    <x v="1162"/>
    <d v="2025-01-02T00:00:00"/>
    <x v="1"/>
    <s v="West"/>
    <s v="Mobile"/>
    <s v="Social"/>
    <x v="1"/>
  </r>
  <r>
    <x v="1163"/>
    <d v="2025-02-24T00:00:00"/>
    <x v="1"/>
    <s v="North"/>
    <s v="Mobile"/>
    <s v="Paid Search"/>
    <x v="1"/>
  </r>
  <r>
    <x v="1164"/>
    <d v="2025-03-01T00:00:00"/>
    <x v="1"/>
    <s v="West"/>
    <s v="Desktop"/>
    <s v="Organic"/>
    <x v="0"/>
  </r>
  <r>
    <x v="1165"/>
    <d v="2025-03-26T00:00:00"/>
    <x v="1"/>
    <s v="South"/>
    <s v="Tablet"/>
    <s v="Organic"/>
    <x v="0"/>
  </r>
  <r>
    <x v="1166"/>
    <d v="2025-05-25T00:00:00"/>
    <x v="1"/>
    <s v="East"/>
    <s v="Mobile"/>
    <s v="Paid Search"/>
    <x v="1"/>
  </r>
  <r>
    <x v="1167"/>
    <d v="2025-02-25T00:00:00"/>
    <x v="1"/>
    <s v="West"/>
    <s v="Mobile"/>
    <s v="Referral"/>
    <x v="2"/>
  </r>
  <r>
    <x v="1168"/>
    <d v="2025-03-23T00:00:00"/>
    <x v="1"/>
    <s v="South"/>
    <s v="Mobile"/>
    <s v="Social"/>
    <x v="1"/>
  </r>
  <r>
    <x v="1169"/>
    <d v="2025-04-21T00:00:00"/>
    <x v="1"/>
    <s v="West"/>
    <s v="Mobile"/>
    <s v="Referral"/>
    <x v="1"/>
  </r>
  <r>
    <x v="1170"/>
    <d v="2025-05-21T00:00:00"/>
    <x v="1"/>
    <s v="North"/>
    <s v="Mobile"/>
    <s v="Organic"/>
    <x v="2"/>
  </r>
  <r>
    <x v="1171"/>
    <d v="2025-04-25T00:00:00"/>
    <x v="1"/>
    <s v="North"/>
    <s v="Desktop"/>
    <s v="Social"/>
    <x v="1"/>
  </r>
  <r>
    <x v="1172"/>
    <d v="2025-05-23T00:00:00"/>
    <x v="1"/>
    <s v="West"/>
    <s v="Mobile"/>
    <s v="Referral"/>
    <x v="0"/>
  </r>
  <r>
    <x v="1173"/>
    <d v="2025-03-18T00:00:00"/>
    <x v="1"/>
    <s v="South"/>
    <s v="Mobile"/>
    <s v="Email"/>
    <x v="1"/>
  </r>
  <r>
    <x v="1174"/>
    <d v="2025-01-03T00:00:00"/>
    <x v="1"/>
    <s v="South"/>
    <s v="Tablet"/>
    <s v="Organic"/>
    <x v="1"/>
  </r>
  <r>
    <x v="1175"/>
    <d v="2025-02-08T00:00:00"/>
    <x v="1"/>
    <s v="West"/>
    <s v="Desktop"/>
    <s v="Organic"/>
    <x v="1"/>
  </r>
  <r>
    <x v="1176"/>
    <d v="2025-02-04T00:00:00"/>
    <x v="1"/>
    <s v="East"/>
    <m/>
    <s v="Paid Search"/>
    <x v="0"/>
  </r>
  <r>
    <x v="1177"/>
    <d v="2025-01-16T00:00:00"/>
    <x v="1"/>
    <s v="North"/>
    <s v="Mobile"/>
    <s v="Paid Search"/>
    <x v="1"/>
  </r>
  <r>
    <x v="1178"/>
    <d v="2025-04-04T00:00:00"/>
    <x v="1"/>
    <s v="West"/>
    <s v="Desktop"/>
    <s v="Paid Search"/>
    <x v="1"/>
  </r>
  <r>
    <x v="1179"/>
    <d v="2025-01-23T00:00:00"/>
    <x v="1"/>
    <s v="North"/>
    <s v="Desktop"/>
    <s v="Paid Search"/>
    <x v="1"/>
  </r>
  <r>
    <x v="1180"/>
    <d v="2025-03-22T00:00:00"/>
    <x v="1"/>
    <s v="South"/>
    <s v="Desktop"/>
    <s v="Paid Search"/>
    <x v="1"/>
  </r>
  <r>
    <x v="1181"/>
    <d v="2025-02-02T00:00:00"/>
    <x v="1"/>
    <s v="East"/>
    <s v="Tablet"/>
    <s v="Social"/>
    <x v="2"/>
  </r>
  <r>
    <x v="1182"/>
    <d v="2025-01-31T00:00:00"/>
    <x v="1"/>
    <s v="North"/>
    <s v="Desktop"/>
    <s v="Paid Search"/>
    <x v="1"/>
  </r>
  <r>
    <x v="1183"/>
    <d v="2025-05-27T00:00:00"/>
    <x v="1"/>
    <s v="West"/>
    <s v="Mobile"/>
    <s v="Organic"/>
    <x v="0"/>
  </r>
  <r>
    <x v="1184"/>
    <d v="2025-05-07T00:00:00"/>
    <x v="1"/>
    <s v="North"/>
    <s v="Mobile"/>
    <s v="Organic"/>
    <x v="2"/>
  </r>
  <r>
    <x v="1185"/>
    <d v="2025-05-08T00:00:00"/>
    <x v="1"/>
    <s v="North"/>
    <s v="Desktop"/>
    <s v="Paid Search"/>
    <x v="0"/>
  </r>
  <r>
    <x v="1186"/>
    <d v="2025-01-15T00:00:00"/>
    <x v="1"/>
    <s v="West"/>
    <s v="Desktop"/>
    <s v="Email"/>
    <x v="1"/>
  </r>
  <r>
    <x v="1187"/>
    <d v="2025-01-18T00:00:00"/>
    <x v="1"/>
    <s v="North"/>
    <s v="Mobile"/>
    <s v="Paid Search"/>
    <x v="1"/>
  </r>
  <r>
    <x v="1188"/>
    <d v="2025-04-16T00:00:00"/>
    <x v="1"/>
    <s v="East"/>
    <m/>
    <s v="Referral"/>
    <x v="1"/>
  </r>
  <r>
    <x v="1189"/>
    <d v="2025-02-16T00:00:00"/>
    <x v="1"/>
    <s v="East"/>
    <s v="Desktop"/>
    <s v="Paid Search"/>
    <x v="1"/>
  </r>
  <r>
    <x v="1190"/>
    <d v="2025-04-17T00:00:00"/>
    <x v="1"/>
    <s v="South"/>
    <s v="Desktop"/>
    <s v="Referral"/>
    <x v="2"/>
  </r>
  <r>
    <x v="1191"/>
    <d v="2025-04-30T00:00:00"/>
    <x v="1"/>
    <s v="South"/>
    <s v="Mobile"/>
    <s v="Organic"/>
    <x v="0"/>
  </r>
  <r>
    <x v="1192"/>
    <d v="2025-01-29T00:00:00"/>
    <x v="1"/>
    <s v="West"/>
    <s v="Mobile"/>
    <s v="Social"/>
    <x v="2"/>
  </r>
  <r>
    <x v="1193"/>
    <d v="2025-01-11T00:00:00"/>
    <x v="1"/>
    <s v="North"/>
    <s v="Mobile"/>
    <s v="Social"/>
    <x v="0"/>
  </r>
  <r>
    <x v="1194"/>
    <d v="2025-04-08T00:00:00"/>
    <x v="1"/>
    <s v="East"/>
    <s v="Desktop"/>
    <s v="Paid Search"/>
    <x v="2"/>
  </r>
  <r>
    <x v="1195"/>
    <d v="2025-02-22T00:00:00"/>
    <x v="1"/>
    <s v="North"/>
    <m/>
    <s v="Social"/>
    <x v="1"/>
  </r>
  <r>
    <x v="1196"/>
    <d v="2025-03-23T00:00:00"/>
    <x v="1"/>
    <s v="South"/>
    <s v="Mobile"/>
    <s v="Organic"/>
    <x v="1"/>
  </r>
  <r>
    <x v="1197"/>
    <d v="2025-05-23T00:00:00"/>
    <x v="1"/>
    <s v="South"/>
    <s v="Tablet"/>
    <s v="Paid Search"/>
    <x v="1"/>
  </r>
  <r>
    <x v="1198"/>
    <d v="2025-04-27T00:00:00"/>
    <x v="1"/>
    <s v="West"/>
    <s v="Mobile"/>
    <s v="Referral"/>
    <x v="0"/>
  </r>
  <r>
    <x v="1199"/>
    <d v="2025-05-26T00:00:00"/>
    <x v="1"/>
    <s v="North"/>
    <s v="Mobile"/>
    <s v="Referral"/>
    <x v="1"/>
  </r>
  <r>
    <x v="1200"/>
    <d v="2025-03-06T00:00:00"/>
    <x v="1"/>
    <s v="East"/>
    <s v="Mobile"/>
    <s v="Paid Search"/>
    <x v="0"/>
  </r>
  <r>
    <x v="1201"/>
    <d v="2025-04-03T00:00:00"/>
    <x v="1"/>
    <s v="West"/>
    <s v="Mobile"/>
    <s v="Organic"/>
    <x v="0"/>
  </r>
  <r>
    <x v="1202"/>
    <d v="2025-02-01T00:00:00"/>
    <x v="1"/>
    <s v="East"/>
    <s v="Desktop"/>
    <s v="Paid Search"/>
    <x v="1"/>
  </r>
  <r>
    <x v="1203"/>
    <d v="2025-05-01T00:00:00"/>
    <x v="1"/>
    <s v="West"/>
    <s v="Mobile"/>
    <s v="Referral"/>
    <x v="2"/>
  </r>
  <r>
    <x v="1204"/>
    <d v="2025-04-13T00:00:00"/>
    <x v="1"/>
    <s v="North"/>
    <s v="Mobile"/>
    <s v="Social"/>
    <x v="2"/>
  </r>
  <r>
    <x v="1205"/>
    <d v="2025-01-25T00:00:00"/>
    <x v="1"/>
    <s v="East"/>
    <s v="Mobile"/>
    <s v="Social"/>
    <x v="1"/>
  </r>
  <r>
    <x v="1206"/>
    <d v="2025-03-17T00:00:00"/>
    <x v="1"/>
    <s v="North"/>
    <s v="Mobile"/>
    <s v="Organic"/>
    <x v="1"/>
  </r>
  <r>
    <x v="1207"/>
    <d v="2025-02-21T00:00:00"/>
    <x v="1"/>
    <s v="West"/>
    <s v="Desktop"/>
    <s v="Social"/>
    <x v="0"/>
  </r>
  <r>
    <x v="1208"/>
    <d v="2025-04-08T00:00:00"/>
    <x v="1"/>
    <s v="East"/>
    <s v="Tablet"/>
    <s v="Organic"/>
    <x v="0"/>
  </r>
  <r>
    <x v="1209"/>
    <d v="2025-02-24T00:00:00"/>
    <x v="1"/>
    <s v="West"/>
    <s v="Mobile"/>
    <s v="Organic"/>
    <x v="0"/>
  </r>
  <r>
    <x v="1210"/>
    <d v="2025-05-29T00:00:00"/>
    <x v="1"/>
    <s v="South"/>
    <s v="Mobile"/>
    <s v="Organic"/>
    <x v="1"/>
  </r>
  <r>
    <x v="1211"/>
    <d v="2025-05-30T00:00:00"/>
    <x v="1"/>
    <s v="North"/>
    <s v="Mobile"/>
    <s v="Email"/>
    <x v="0"/>
  </r>
  <r>
    <x v="1212"/>
    <d v="2025-01-24T00:00:00"/>
    <x v="1"/>
    <s v="North"/>
    <s v="Desktop"/>
    <s v="Organic"/>
    <x v="2"/>
  </r>
  <r>
    <x v="1213"/>
    <d v="2025-05-12T00:00:00"/>
    <x v="1"/>
    <s v="South"/>
    <s v="Mobile"/>
    <s v="Organic"/>
    <x v="0"/>
  </r>
  <r>
    <x v="1214"/>
    <d v="2025-03-28T00:00:00"/>
    <x v="1"/>
    <s v="South"/>
    <s v="Mobile"/>
    <s v="Organic"/>
    <x v="0"/>
  </r>
  <r>
    <x v="1215"/>
    <d v="2025-04-14T00:00:00"/>
    <x v="1"/>
    <s v="North"/>
    <s v="Mobile"/>
    <s v="Referral"/>
    <x v="0"/>
  </r>
  <r>
    <x v="1216"/>
    <d v="2025-01-28T00:00:00"/>
    <x v="1"/>
    <s v="East"/>
    <s v="Tablet"/>
    <s v="Referral"/>
    <x v="0"/>
  </r>
  <r>
    <x v="1217"/>
    <d v="2025-05-21T00:00:00"/>
    <x v="1"/>
    <s v="North"/>
    <s v="Mobile"/>
    <s v="Organic"/>
    <x v="0"/>
  </r>
  <r>
    <x v="1218"/>
    <d v="2025-05-11T00:00:00"/>
    <x v="1"/>
    <s v="West"/>
    <s v="Desktop"/>
    <s v="Organic"/>
    <x v="1"/>
  </r>
  <r>
    <x v="1219"/>
    <d v="2025-02-02T00:00:00"/>
    <x v="1"/>
    <s v="South"/>
    <s v="Mobile"/>
    <s v="Paid Search"/>
    <x v="1"/>
  </r>
  <r>
    <x v="1220"/>
    <d v="2025-02-26T00:00:00"/>
    <x v="1"/>
    <s v="North"/>
    <s v="Mobile"/>
    <s v="Social"/>
    <x v="1"/>
  </r>
  <r>
    <x v="1221"/>
    <d v="2025-02-27T00:00:00"/>
    <x v="1"/>
    <s v="South"/>
    <s v="Desktop"/>
    <s v="Referral"/>
    <x v="1"/>
  </r>
  <r>
    <x v="1222"/>
    <d v="2025-03-09T00:00:00"/>
    <x v="1"/>
    <s v="West"/>
    <s v="Mobile"/>
    <s v="Organic"/>
    <x v="1"/>
  </r>
  <r>
    <x v="1223"/>
    <d v="2025-02-07T00:00:00"/>
    <x v="1"/>
    <s v="North"/>
    <s v="Mobile"/>
    <s v="Paid Search"/>
    <x v="0"/>
  </r>
  <r>
    <x v="1224"/>
    <d v="2025-01-31T00:00:00"/>
    <x v="1"/>
    <s v="West"/>
    <s v="Mobile"/>
    <s v="Social"/>
    <x v="1"/>
  </r>
  <r>
    <x v="1225"/>
    <d v="2025-02-14T00:00:00"/>
    <x v="1"/>
    <s v="North"/>
    <s v="Tablet"/>
    <s v="Paid Search"/>
    <x v="0"/>
  </r>
  <r>
    <x v="1226"/>
    <d v="2025-02-12T00:00:00"/>
    <x v="1"/>
    <s v="South"/>
    <s v="Desktop"/>
    <s v="Social"/>
    <x v="0"/>
  </r>
  <r>
    <x v="1227"/>
    <d v="2025-03-23T00:00:00"/>
    <x v="1"/>
    <s v="East"/>
    <m/>
    <s v="Paid Search"/>
    <x v="1"/>
  </r>
  <r>
    <x v="1228"/>
    <d v="2025-03-18T00:00:00"/>
    <x v="1"/>
    <s v="West"/>
    <s v="Mobile"/>
    <s v="Paid Search"/>
    <x v="1"/>
  </r>
  <r>
    <x v="1229"/>
    <d v="2025-05-17T00:00:00"/>
    <x v="1"/>
    <s v="North"/>
    <s v="Mobile"/>
    <s v="Social"/>
    <x v="1"/>
  </r>
  <r>
    <x v="1230"/>
    <d v="2025-03-26T00:00:00"/>
    <x v="1"/>
    <s v="West"/>
    <s v="Desktop"/>
    <s v="Social"/>
    <x v="2"/>
  </r>
  <r>
    <x v="1231"/>
    <d v="2025-03-30T00:00:00"/>
    <x v="1"/>
    <s v="East"/>
    <s v="Mobile"/>
    <s v="Organic"/>
    <x v="1"/>
  </r>
  <r>
    <x v="1232"/>
    <d v="2025-02-25T00:00:00"/>
    <x v="1"/>
    <s v="East"/>
    <s v="Desktop"/>
    <s v="Organic"/>
    <x v="1"/>
  </r>
  <r>
    <x v="1233"/>
    <d v="2025-03-01T00:00:00"/>
    <x v="1"/>
    <s v="East"/>
    <s v="Desktop"/>
    <s v="Social"/>
    <x v="1"/>
  </r>
  <r>
    <x v="1234"/>
    <d v="2025-05-27T00:00:00"/>
    <x v="1"/>
    <s v="North"/>
    <s v="Mobile"/>
    <s v="Paid Search"/>
    <x v="0"/>
  </r>
  <r>
    <x v="1235"/>
    <d v="2025-02-05T00:00:00"/>
    <x v="1"/>
    <s v="West"/>
    <s v="Mobile"/>
    <m/>
    <x v="2"/>
  </r>
  <r>
    <x v="1236"/>
    <d v="2025-01-25T00:00:00"/>
    <x v="1"/>
    <s v="West"/>
    <s v="Desktop"/>
    <s v="Email"/>
    <x v="1"/>
  </r>
  <r>
    <x v="1237"/>
    <d v="2025-04-10T00:00:00"/>
    <x v="1"/>
    <s v="East"/>
    <s v="Mobile"/>
    <s v="Organic"/>
    <x v="2"/>
  </r>
  <r>
    <x v="1238"/>
    <d v="2025-01-10T00:00:00"/>
    <x v="1"/>
    <s v="East"/>
    <s v="Mobile"/>
    <s v="Organic"/>
    <x v="2"/>
  </r>
  <r>
    <x v="1239"/>
    <d v="2025-02-23T00:00:00"/>
    <x v="1"/>
    <s v="East"/>
    <s v="Mobile"/>
    <m/>
    <x v="1"/>
  </r>
  <r>
    <x v="1240"/>
    <d v="2025-05-23T00:00:00"/>
    <x v="1"/>
    <s v="West"/>
    <s v="Desktop"/>
    <s v="Organic"/>
    <x v="0"/>
  </r>
  <r>
    <x v="1241"/>
    <d v="2025-03-08T00:00:00"/>
    <x v="1"/>
    <s v="North"/>
    <s v="Tablet"/>
    <s v="Email"/>
    <x v="0"/>
  </r>
  <r>
    <x v="1242"/>
    <d v="2025-05-21T00:00:00"/>
    <x v="1"/>
    <s v="East"/>
    <s v="Mobile"/>
    <s v="Organic"/>
    <x v="0"/>
  </r>
  <r>
    <x v="1243"/>
    <d v="2025-04-22T00:00:00"/>
    <x v="1"/>
    <s v="North"/>
    <s v="Mobile"/>
    <s v="Email"/>
    <x v="0"/>
  </r>
  <r>
    <x v="1244"/>
    <d v="2025-04-16T00:00:00"/>
    <x v="1"/>
    <s v="North"/>
    <s v="Mobile"/>
    <s v="Email"/>
    <x v="2"/>
  </r>
  <r>
    <x v="1245"/>
    <d v="2025-05-08T00:00:00"/>
    <x v="1"/>
    <s v="North"/>
    <s v="Tablet"/>
    <s v="Organic"/>
    <x v="1"/>
  </r>
  <r>
    <x v="1246"/>
    <d v="2025-05-22T00:00:00"/>
    <x v="1"/>
    <s v="North"/>
    <s v="Mobile"/>
    <s v="Paid Search"/>
    <x v="0"/>
  </r>
  <r>
    <x v="1247"/>
    <d v="2025-03-21T00:00:00"/>
    <x v="1"/>
    <s v="North"/>
    <s v="Mobile"/>
    <s v="Referral"/>
    <x v="0"/>
  </r>
  <r>
    <x v="1248"/>
    <d v="2025-03-22T00:00:00"/>
    <x v="1"/>
    <s v="East"/>
    <s v="Mobile"/>
    <s v="Organic"/>
    <x v="0"/>
  </r>
  <r>
    <x v="1249"/>
    <d v="2025-01-10T00:00:00"/>
    <x v="1"/>
    <s v="West"/>
    <s v="Desktop"/>
    <s v="Social"/>
    <x v="1"/>
  </r>
  <r>
    <x v="1250"/>
    <d v="2025-02-01T00:00:00"/>
    <x v="1"/>
    <s v="East"/>
    <s v="Mobile"/>
    <s v="Organic"/>
    <x v="0"/>
  </r>
  <r>
    <x v="1251"/>
    <d v="2025-03-31T00:00:00"/>
    <x v="1"/>
    <s v="South"/>
    <s v="Mobile"/>
    <s v="Paid Search"/>
    <x v="0"/>
  </r>
  <r>
    <x v="1252"/>
    <d v="2025-04-25T00:00:00"/>
    <x v="1"/>
    <s v="North"/>
    <s v="Mobile"/>
    <s v="Paid Search"/>
    <x v="1"/>
  </r>
  <r>
    <x v="1253"/>
    <d v="2025-05-02T00:00:00"/>
    <x v="1"/>
    <s v="West"/>
    <s v="Mobile"/>
    <s v="Social"/>
    <x v="0"/>
  </r>
  <r>
    <x v="1254"/>
    <d v="2025-03-08T00:00:00"/>
    <x v="1"/>
    <s v="South"/>
    <s v="Desktop"/>
    <s v="Social"/>
    <x v="0"/>
  </r>
  <r>
    <x v="1255"/>
    <d v="2025-01-27T00:00:00"/>
    <x v="1"/>
    <s v="East"/>
    <s v="Desktop"/>
    <m/>
    <x v="1"/>
  </r>
  <r>
    <x v="1256"/>
    <d v="2025-04-27T00:00:00"/>
    <x v="1"/>
    <s v="West"/>
    <s v="Mobile"/>
    <s v="Paid Search"/>
    <x v="1"/>
  </r>
  <r>
    <x v="1257"/>
    <d v="2025-01-16T00:00:00"/>
    <x v="1"/>
    <s v="West"/>
    <s v="Desktop"/>
    <s v="Paid Search"/>
    <x v="0"/>
  </r>
  <r>
    <x v="1258"/>
    <d v="2025-01-18T00:00:00"/>
    <x v="1"/>
    <s v="West"/>
    <s v="Desktop"/>
    <s v="Paid Search"/>
    <x v="0"/>
  </r>
  <r>
    <x v="1259"/>
    <d v="2025-03-21T00:00:00"/>
    <x v="1"/>
    <s v="North"/>
    <s v="Mobile"/>
    <s v="Organic"/>
    <x v="1"/>
  </r>
  <r>
    <x v="1260"/>
    <d v="2025-04-02T00:00:00"/>
    <x v="1"/>
    <s v="North"/>
    <s v="Desktop"/>
    <s v="Paid Search"/>
    <x v="1"/>
  </r>
  <r>
    <x v="1261"/>
    <d v="2025-02-16T00:00:00"/>
    <x v="1"/>
    <s v="West"/>
    <s v="Desktop"/>
    <s v="Organic"/>
    <x v="1"/>
  </r>
  <r>
    <x v="1262"/>
    <d v="2025-02-18T00:00:00"/>
    <x v="1"/>
    <s v="North"/>
    <s v="Mobile"/>
    <s v="Social"/>
    <x v="1"/>
  </r>
  <r>
    <x v="1263"/>
    <d v="2025-01-09T00:00:00"/>
    <x v="1"/>
    <s v="East"/>
    <s v="Mobile"/>
    <s v="Organic"/>
    <x v="1"/>
  </r>
  <r>
    <x v="1264"/>
    <d v="2025-02-18T00:00:00"/>
    <x v="1"/>
    <s v="North"/>
    <s v="Desktop"/>
    <s v="Paid Search"/>
    <x v="1"/>
  </r>
  <r>
    <x v="1265"/>
    <d v="2025-01-10T00:00:00"/>
    <x v="1"/>
    <s v="East"/>
    <s v="Mobile"/>
    <s v="Referral"/>
    <x v="1"/>
  </r>
  <r>
    <x v="1266"/>
    <d v="2025-03-08T00:00:00"/>
    <x v="1"/>
    <s v="West"/>
    <s v="Mobile"/>
    <s v="Email"/>
    <x v="1"/>
  </r>
  <r>
    <x v="1267"/>
    <d v="2025-04-16T00:00:00"/>
    <x v="1"/>
    <s v="East"/>
    <s v="Desktop"/>
    <s v="Paid Search"/>
    <x v="0"/>
  </r>
  <r>
    <x v="1268"/>
    <d v="2025-02-19T00:00:00"/>
    <x v="1"/>
    <s v="West"/>
    <s v="Desktop"/>
    <s v="Paid Search"/>
    <x v="2"/>
  </r>
  <r>
    <x v="1269"/>
    <d v="2025-03-16T00:00:00"/>
    <x v="1"/>
    <s v="East"/>
    <s v="Desktop"/>
    <s v="Social"/>
    <x v="1"/>
  </r>
  <r>
    <x v="1270"/>
    <d v="2025-02-03T00:00:00"/>
    <x v="1"/>
    <s v="West"/>
    <m/>
    <s v="Referral"/>
    <x v="0"/>
  </r>
  <r>
    <x v="1271"/>
    <d v="2025-03-12T00:00:00"/>
    <x v="1"/>
    <s v="West"/>
    <s v="Mobile"/>
    <s v="Paid Search"/>
    <x v="0"/>
  </r>
  <r>
    <x v="1272"/>
    <d v="2025-05-09T00:00:00"/>
    <x v="1"/>
    <s v="West"/>
    <s v="Mobile"/>
    <s v="Social"/>
    <x v="1"/>
  </r>
  <r>
    <x v="1273"/>
    <d v="2025-01-19T00:00:00"/>
    <x v="1"/>
    <s v="South"/>
    <s v="Desktop"/>
    <s v="Social"/>
    <x v="2"/>
  </r>
  <r>
    <x v="1274"/>
    <d v="2025-01-24T00:00:00"/>
    <x v="1"/>
    <s v="West"/>
    <s v="Mobile"/>
    <s v="Referral"/>
    <x v="1"/>
  </r>
  <r>
    <x v="1275"/>
    <d v="2025-03-03T00:00:00"/>
    <x v="1"/>
    <s v="East"/>
    <s v="Mobile"/>
    <s v="Referral"/>
    <x v="1"/>
  </r>
  <r>
    <x v="1276"/>
    <d v="2025-05-27T00:00:00"/>
    <x v="1"/>
    <s v="North"/>
    <s v="Desktop"/>
    <s v="Referral"/>
    <x v="1"/>
  </r>
  <r>
    <x v="1277"/>
    <d v="2025-04-23T00:00:00"/>
    <x v="1"/>
    <s v="West"/>
    <s v="Desktop"/>
    <s v="Organic"/>
    <x v="0"/>
  </r>
  <r>
    <x v="1278"/>
    <d v="2025-02-10T00:00:00"/>
    <x v="1"/>
    <s v="East"/>
    <s v="Desktop"/>
    <s v="Social"/>
    <x v="1"/>
  </r>
  <r>
    <x v="1279"/>
    <d v="2025-02-11T00:00:00"/>
    <x v="1"/>
    <s v="North"/>
    <s v="Mobile"/>
    <s v="Organic"/>
    <x v="1"/>
  </r>
  <r>
    <x v="1280"/>
    <d v="2025-01-21T00:00:00"/>
    <x v="1"/>
    <s v="East"/>
    <s v="Desktop"/>
    <s v="Paid Search"/>
    <x v="1"/>
  </r>
  <r>
    <x v="1281"/>
    <d v="2025-02-02T00:00:00"/>
    <x v="1"/>
    <s v="West"/>
    <s v="Desktop"/>
    <s v="Social"/>
    <x v="1"/>
  </r>
  <r>
    <x v="1282"/>
    <d v="2025-02-02T00:00:00"/>
    <x v="1"/>
    <s v="West"/>
    <s v="Mobile"/>
    <s v="Organic"/>
    <x v="1"/>
  </r>
  <r>
    <x v="1283"/>
    <d v="2025-02-26T00:00:00"/>
    <x v="1"/>
    <s v="West"/>
    <s v="Tablet"/>
    <s v="Social"/>
    <x v="1"/>
  </r>
  <r>
    <x v="1284"/>
    <d v="2025-04-22T00:00:00"/>
    <x v="1"/>
    <s v="North"/>
    <s v="Mobile"/>
    <s v="Social"/>
    <x v="2"/>
  </r>
  <r>
    <x v="1285"/>
    <d v="2025-03-11T00:00:00"/>
    <x v="1"/>
    <s v="North"/>
    <s v="Desktop"/>
    <s v="Organic"/>
    <x v="0"/>
  </r>
  <r>
    <x v="1286"/>
    <d v="2025-05-08T00:00:00"/>
    <x v="1"/>
    <s v="South"/>
    <s v="Mobile"/>
    <s v="Organic"/>
    <x v="2"/>
  </r>
  <r>
    <x v="1287"/>
    <d v="2025-03-10T00:00:00"/>
    <x v="1"/>
    <s v="East"/>
    <s v="Desktop"/>
    <s v="Organic"/>
    <x v="1"/>
  </r>
  <r>
    <x v="1288"/>
    <d v="2025-04-16T00:00:00"/>
    <x v="1"/>
    <s v="East"/>
    <s v="Desktop"/>
    <s v="Paid Search"/>
    <x v="1"/>
  </r>
  <r>
    <x v="1289"/>
    <d v="2025-03-01T00:00:00"/>
    <x v="1"/>
    <s v="West"/>
    <s v="Tablet"/>
    <s v="Organic"/>
    <x v="0"/>
  </r>
  <r>
    <x v="1290"/>
    <d v="2025-01-18T00:00:00"/>
    <x v="1"/>
    <s v="South"/>
    <s v="Desktop"/>
    <s v="Organic"/>
    <x v="2"/>
  </r>
  <r>
    <x v="1291"/>
    <d v="2025-03-30T00:00:00"/>
    <x v="1"/>
    <s v="North"/>
    <s v="Mobile"/>
    <s v="Paid Search"/>
    <x v="1"/>
  </r>
  <r>
    <x v="1292"/>
    <d v="2025-05-26T00:00:00"/>
    <x v="1"/>
    <s v="West"/>
    <s v="Mobile"/>
    <s v="Social"/>
    <x v="2"/>
  </r>
  <r>
    <x v="1293"/>
    <d v="2025-03-19T00:00:00"/>
    <x v="1"/>
    <s v="East"/>
    <s v="Desktop"/>
    <s v="Social"/>
    <x v="1"/>
  </r>
  <r>
    <x v="1294"/>
    <d v="2025-03-28T00:00:00"/>
    <x v="1"/>
    <s v="North"/>
    <s v="Desktop"/>
    <s v="Referral"/>
    <x v="1"/>
  </r>
  <r>
    <x v="1295"/>
    <d v="2025-05-28T00:00:00"/>
    <x v="1"/>
    <s v="South"/>
    <s v="Desktop"/>
    <s v="Social"/>
    <x v="1"/>
  </r>
  <r>
    <x v="1296"/>
    <d v="2025-05-31T00:00:00"/>
    <x v="1"/>
    <s v="South"/>
    <s v="Desktop"/>
    <s v="Referral"/>
    <x v="2"/>
  </r>
  <r>
    <x v="1297"/>
    <d v="2025-05-10T00:00:00"/>
    <x v="1"/>
    <s v="North"/>
    <s v="Mobile"/>
    <s v="Referral"/>
    <x v="1"/>
  </r>
  <r>
    <x v="1298"/>
    <d v="2025-05-17T00:00:00"/>
    <x v="1"/>
    <s v="West"/>
    <s v="Mobile"/>
    <s v="Organic"/>
    <x v="1"/>
  </r>
  <r>
    <x v="1299"/>
    <d v="2025-01-18T00:00:00"/>
    <x v="1"/>
    <s v="South"/>
    <s v="Mobile"/>
    <s v="Organic"/>
    <x v="2"/>
  </r>
  <r>
    <x v="1300"/>
    <d v="2025-05-04T00:00:00"/>
    <x v="1"/>
    <s v="West"/>
    <s v="Mobile"/>
    <s v="Social"/>
    <x v="1"/>
  </r>
  <r>
    <x v="1301"/>
    <d v="2025-03-25T00:00:00"/>
    <x v="1"/>
    <s v="North"/>
    <s v="Mobile"/>
    <s v="Organic"/>
    <x v="1"/>
  </r>
  <r>
    <x v="1302"/>
    <d v="2025-02-27T00:00:00"/>
    <x v="1"/>
    <s v="North"/>
    <s v="Mobile"/>
    <s v="Social"/>
    <x v="0"/>
  </r>
  <r>
    <x v="1303"/>
    <d v="2025-01-14T00:00:00"/>
    <x v="1"/>
    <s v="West"/>
    <s v="Mobile"/>
    <s v="Paid Search"/>
    <x v="0"/>
  </r>
  <r>
    <x v="1304"/>
    <d v="2025-04-11T00:00:00"/>
    <x v="1"/>
    <s v="East"/>
    <s v="Mobile"/>
    <s v="Social"/>
    <x v="1"/>
  </r>
  <r>
    <x v="1305"/>
    <d v="2025-03-26T00:00:00"/>
    <x v="1"/>
    <s v="East"/>
    <s v="Desktop"/>
    <s v="Social"/>
    <x v="0"/>
  </r>
  <r>
    <x v="1306"/>
    <d v="2025-02-12T00:00:00"/>
    <x v="1"/>
    <s v="West"/>
    <s v="Desktop"/>
    <s v="Social"/>
    <x v="1"/>
  </r>
  <r>
    <x v="1307"/>
    <d v="2025-02-18T00:00:00"/>
    <x v="1"/>
    <s v="West"/>
    <s v="Tablet"/>
    <s v="Paid Search"/>
    <x v="0"/>
  </r>
  <r>
    <x v="1308"/>
    <d v="2025-05-25T00:00:00"/>
    <x v="1"/>
    <s v="East"/>
    <s v="Desktop"/>
    <s v="Social"/>
    <x v="1"/>
  </r>
  <r>
    <x v="1309"/>
    <d v="2025-05-23T00:00:00"/>
    <x v="1"/>
    <s v="East"/>
    <s v="Desktop"/>
    <s v="Paid Search"/>
    <x v="0"/>
  </r>
  <r>
    <x v="1310"/>
    <d v="2025-01-16T00:00:00"/>
    <x v="1"/>
    <s v="North"/>
    <s v="Desktop"/>
    <s v="Organic"/>
    <x v="1"/>
  </r>
  <r>
    <x v="1311"/>
    <d v="2025-01-19T00:00:00"/>
    <x v="1"/>
    <s v="West"/>
    <s v="Desktop"/>
    <s v="Email"/>
    <x v="0"/>
  </r>
  <r>
    <x v="1312"/>
    <d v="2025-05-18T00:00:00"/>
    <x v="1"/>
    <s v="South"/>
    <s v="Mobile"/>
    <s v="Referral"/>
    <x v="1"/>
  </r>
  <r>
    <x v="1313"/>
    <d v="2025-01-23T00:00:00"/>
    <x v="1"/>
    <s v="East"/>
    <s v="Tablet"/>
    <s v="Social"/>
    <x v="2"/>
  </r>
  <r>
    <x v="1314"/>
    <d v="2025-01-08T00:00:00"/>
    <x v="1"/>
    <s v="East"/>
    <s v="Tablet"/>
    <m/>
    <x v="2"/>
  </r>
  <r>
    <x v="1315"/>
    <d v="2025-02-19T00:00:00"/>
    <x v="1"/>
    <s v="North"/>
    <s v="Mobile"/>
    <s v="Organic"/>
    <x v="2"/>
  </r>
  <r>
    <x v="1316"/>
    <d v="2025-02-10T00:00:00"/>
    <x v="1"/>
    <s v="South"/>
    <s v="Mobile"/>
    <s v="Organic"/>
    <x v="1"/>
  </r>
  <r>
    <x v="1317"/>
    <d v="2025-04-13T00:00:00"/>
    <x v="1"/>
    <s v="South"/>
    <s v="Mobile"/>
    <s v="Paid Search"/>
    <x v="1"/>
  </r>
  <r>
    <x v="1318"/>
    <d v="2025-05-20T00:00:00"/>
    <x v="1"/>
    <s v="East"/>
    <s v="Mobile"/>
    <s v="Organic"/>
    <x v="1"/>
  </r>
  <r>
    <x v="1319"/>
    <d v="2025-05-13T00:00:00"/>
    <x v="1"/>
    <s v="South"/>
    <s v="Mobile"/>
    <s v="Paid Search"/>
    <x v="0"/>
  </r>
  <r>
    <x v="1320"/>
    <d v="2025-05-28T00:00:00"/>
    <x v="1"/>
    <s v="South"/>
    <s v="Desktop"/>
    <s v="Paid Search"/>
    <x v="0"/>
  </r>
  <r>
    <x v="1321"/>
    <d v="2025-03-19T00:00:00"/>
    <x v="1"/>
    <s v="West"/>
    <s v="Mobile"/>
    <s v="Organic"/>
    <x v="1"/>
  </r>
  <r>
    <x v="1322"/>
    <d v="2025-02-03T00:00:00"/>
    <x v="1"/>
    <s v="North"/>
    <s v="Mobile"/>
    <s v="Email"/>
    <x v="2"/>
  </r>
  <r>
    <x v="1323"/>
    <d v="2025-02-26T00:00:00"/>
    <x v="1"/>
    <s v="South"/>
    <s v="Mobile"/>
    <s v="Email"/>
    <x v="0"/>
  </r>
  <r>
    <x v="1324"/>
    <d v="2025-01-26T00:00:00"/>
    <x v="1"/>
    <s v="West"/>
    <s v="Mobile"/>
    <s v="Paid Search"/>
    <x v="1"/>
  </r>
  <r>
    <x v="1325"/>
    <d v="2025-05-13T00:00:00"/>
    <x v="1"/>
    <s v="North"/>
    <s v="Mobile"/>
    <s v="Organic"/>
    <x v="2"/>
  </r>
  <r>
    <x v="1326"/>
    <d v="2025-02-02T00:00:00"/>
    <x v="1"/>
    <s v="South"/>
    <s v="Mobile"/>
    <s v="Paid Search"/>
    <x v="0"/>
  </r>
  <r>
    <x v="1327"/>
    <d v="2025-04-30T00:00:00"/>
    <x v="1"/>
    <s v="West"/>
    <s v="Mobile"/>
    <m/>
    <x v="0"/>
  </r>
  <r>
    <x v="1328"/>
    <d v="2025-03-29T00:00:00"/>
    <x v="1"/>
    <s v="East"/>
    <s v="Mobile"/>
    <s v="Organic"/>
    <x v="1"/>
  </r>
  <r>
    <x v="1329"/>
    <d v="2025-04-09T00:00:00"/>
    <x v="1"/>
    <s v="West"/>
    <s v="Desktop"/>
    <s v="Referral"/>
    <x v="2"/>
  </r>
  <r>
    <x v="1330"/>
    <d v="2025-01-22T00:00:00"/>
    <x v="1"/>
    <s v="South"/>
    <s v="Tablet"/>
    <s v="Organic"/>
    <x v="1"/>
  </r>
  <r>
    <x v="1331"/>
    <d v="2025-01-27T00:00:00"/>
    <x v="1"/>
    <s v="South"/>
    <s v="Mobile"/>
    <s v="Organic"/>
    <x v="0"/>
  </r>
  <r>
    <x v="1332"/>
    <d v="2025-01-22T00:00:00"/>
    <x v="1"/>
    <s v="East"/>
    <s v="Mobile"/>
    <s v="Social"/>
    <x v="2"/>
  </r>
  <r>
    <x v="1333"/>
    <d v="2025-01-06T00:00:00"/>
    <x v="1"/>
    <s v="West"/>
    <s v="Desktop"/>
    <s v="Paid Search"/>
    <x v="1"/>
  </r>
  <r>
    <x v="1334"/>
    <d v="2025-04-16T00:00:00"/>
    <x v="1"/>
    <s v="South"/>
    <m/>
    <s v="Organic"/>
    <x v="1"/>
  </r>
  <r>
    <x v="1335"/>
    <d v="2025-04-14T00:00:00"/>
    <x v="1"/>
    <s v="South"/>
    <s v="Mobile"/>
    <s v="Organic"/>
    <x v="1"/>
  </r>
  <r>
    <x v="1336"/>
    <d v="2025-02-22T00:00:00"/>
    <x v="1"/>
    <s v="West"/>
    <s v="Mobile"/>
    <s v="Paid Search"/>
    <x v="0"/>
  </r>
  <r>
    <x v="1337"/>
    <d v="2025-03-09T00:00:00"/>
    <x v="1"/>
    <s v="North"/>
    <s v="Mobile"/>
    <s v="Organic"/>
    <x v="0"/>
  </r>
  <r>
    <x v="1338"/>
    <d v="2025-04-20T00:00:00"/>
    <x v="1"/>
    <s v="West"/>
    <s v="Desktop"/>
    <s v="Organic"/>
    <x v="1"/>
  </r>
  <r>
    <x v="1339"/>
    <d v="2025-03-10T00:00:00"/>
    <x v="1"/>
    <s v="South"/>
    <s v="Mobile"/>
    <s v="Email"/>
    <x v="1"/>
  </r>
  <r>
    <x v="1340"/>
    <d v="2025-02-21T00:00:00"/>
    <x v="1"/>
    <s v="South"/>
    <s v="Mobile"/>
    <s v="Email"/>
    <x v="1"/>
  </r>
  <r>
    <x v="1341"/>
    <d v="2025-01-06T00:00:00"/>
    <x v="1"/>
    <s v="North"/>
    <s v="Desktop"/>
    <s v="Social"/>
    <x v="1"/>
  </r>
  <r>
    <x v="1342"/>
    <d v="2025-04-17T00:00:00"/>
    <x v="1"/>
    <s v="South"/>
    <s v="Mobile"/>
    <s v="Organic"/>
    <x v="2"/>
  </r>
  <r>
    <x v="1343"/>
    <d v="2025-05-23T00:00:00"/>
    <x v="1"/>
    <s v="South"/>
    <s v="Mobile"/>
    <s v="Email"/>
    <x v="0"/>
  </r>
  <r>
    <x v="1344"/>
    <d v="2025-03-14T00:00:00"/>
    <x v="1"/>
    <s v="West"/>
    <s v="Desktop"/>
    <s v="Organic"/>
    <x v="0"/>
  </r>
  <r>
    <x v="1345"/>
    <d v="2025-04-21T00:00:00"/>
    <x v="1"/>
    <s v="North"/>
    <s v="Mobile"/>
    <s v="Social"/>
    <x v="2"/>
  </r>
  <r>
    <x v="1346"/>
    <d v="2025-01-03T00:00:00"/>
    <x v="1"/>
    <s v="South"/>
    <s v="Mobile"/>
    <s v="Social"/>
    <x v="1"/>
  </r>
  <r>
    <x v="1347"/>
    <d v="2025-05-09T00:00:00"/>
    <x v="1"/>
    <s v="North"/>
    <s v="Desktop"/>
    <s v="Organic"/>
    <x v="0"/>
  </r>
  <r>
    <x v="1348"/>
    <d v="2025-05-22T00:00:00"/>
    <x v="1"/>
    <s v="South"/>
    <s v="Mobile"/>
    <s v="Organic"/>
    <x v="0"/>
  </r>
  <r>
    <x v="1349"/>
    <d v="2025-05-07T00:00:00"/>
    <x v="1"/>
    <s v="South"/>
    <s v="Desktop"/>
    <s v="Paid Search"/>
    <x v="1"/>
  </r>
  <r>
    <x v="1350"/>
    <d v="2025-02-08T00:00:00"/>
    <x v="1"/>
    <s v="East"/>
    <s v="Mobile"/>
    <s v="Social"/>
    <x v="1"/>
  </r>
  <r>
    <x v="1351"/>
    <d v="2025-04-03T00:00:00"/>
    <x v="1"/>
    <s v="North"/>
    <s v="Tablet"/>
    <s v="Social"/>
    <x v="0"/>
  </r>
  <r>
    <x v="1352"/>
    <d v="2025-04-17T00:00:00"/>
    <x v="1"/>
    <s v="East"/>
    <s v="Desktop"/>
    <s v="Paid Search"/>
    <x v="1"/>
  </r>
  <r>
    <x v="1353"/>
    <d v="2025-05-04T00:00:00"/>
    <x v="1"/>
    <s v="East"/>
    <s v="Mobile"/>
    <s v="Organic"/>
    <x v="1"/>
  </r>
  <r>
    <x v="1354"/>
    <d v="2025-05-11T00:00:00"/>
    <x v="1"/>
    <s v="West"/>
    <s v="Desktop"/>
    <s v="Organic"/>
    <x v="1"/>
  </r>
  <r>
    <x v="1355"/>
    <d v="2025-03-01T00:00:00"/>
    <x v="1"/>
    <s v="North"/>
    <s v="Desktop"/>
    <m/>
    <x v="1"/>
  </r>
  <r>
    <x v="1356"/>
    <d v="2025-02-20T00:00:00"/>
    <x v="1"/>
    <s v="West"/>
    <s v="Desktop"/>
    <s v="Organic"/>
    <x v="1"/>
  </r>
  <r>
    <x v="1357"/>
    <d v="2025-05-09T00:00:00"/>
    <x v="1"/>
    <s v="West"/>
    <s v="Mobile"/>
    <s v="Social"/>
    <x v="1"/>
  </r>
  <r>
    <x v="1358"/>
    <d v="2025-04-30T00:00:00"/>
    <x v="1"/>
    <s v="West"/>
    <s v="Mobile"/>
    <s v="Organic"/>
    <x v="1"/>
  </r>
  <r>
    <x v="1359"/>
    <d v="2025-01-07T00:00:00"/>
    <x v="1"/>
    <s v="South"/>
    <s v="Mobile"/>
    <s v="Social"/>
    <x v="0"/>
  </r>
  <r>
    <x v="1360"/>
    <d v="2025-04-30T00:00:00"/>
    <x v="1"/>
    <s v="North"/>
    <s v="Mobile"/>
    <s v="Social"/>
    <x v="0"/>
  </r>
  <r>
    <x v="1361"/>
    <d v="2025-05-23T00:00:00"/>
    <x v="1"/>
    <s v="East"/>
    <s v="Mobile"/>
    <s v="Organic"/>
    <x v="0"/>
  </r>
  <r>
    <x v="1362"/>
    <d v="2025-03-12T00:00:00"/>
    <x v="1"/>
    <s v="South"/>
    <s v="Mobile"/>
    <s v="Paid Search"/>
    <x v="2"/>
  </r>
  <r>
    <x v="1363"/>
    <d v="2025-02-17T00:00:00"/>
    <x v="1"/>
    <s v="North"/>
    <s v="Mobile"/>
    <s v="Organic"/>
    <x v="2"/>
  </r>
  <r>
    <x v="1364"/>
    <d v="2025-05-27T00:00:00"/>
    <x v="1"/>
    <s v="North"/>
    <s v="Desktop"/>
    <s v="Organic"/>
    <x v="0"/>
  </r>
  <r>
    <x v="1365"/>
    <d v="2025-05-10T00:00:00"/>
    <x v="1"/>
    <s v="South"/>
    <s v="Mobile"/>
    <s v="Social"/>
    <x v="2"/>
  </r>
  <r>
    <x v="1366"/>
    <d v="2025-01-20T00:00:00"/>
    <x v="1"/>
    <s v="North"/>
    <s v="Mobile"/>
    <s v="Organic"/>
    <x v="0"/>
  </r>
  <r>
    <x v="1367"/>
    <d v="2025-01-19T00:00:00"/>
    <x v="1"/>
    <s v="East"/>
    <s v="Mobile"/>
    <s v="Referral"/>
    <x v="1"/>
  </r>
  <r>
    <x v="1368"/>
    <d v="2025-03-07T00:00:00"/>
    <x v="1"/>
    <s v="West"/>
    <s v="Desktop"/>
    <s v="Paid Search"/>
    <x v="0"/>
  </r>
  <r>
    <x v="1369"/>
    <d v="2025-02-02T00:00:00"/>
    <x v="1"/>
    <s v="East"/>
    <s v="Mobile"/>
    <s v="Organic"/>
    <x v="1"/>
  </r>
  <r>
    <x v="1370"/>
    <d v="2025-03-07T00:00:00"/>
    <x v="1"/>
    <s v="North"/>
    <s v="Mobile"/>
    <s v="Organic"/>
    <x v="1"/>
  </r>
  <r>
    <x v="1371"/>
    <d v="2025-03-30T00:00:00"/>
    <x v="1"/>
    <s v="East"/>
    <s v="Desktop"/>
    <s v="Organic"/>
    <x v="1"/>
  </r>
  <r>
    <x v="1372"/>
    <d v="2025-05-05T00:00:00"/>
    <x v="1"/>
    <s v="East"/>
    <s v="Desktop"/>
    <s v="Paid Search"/>
    <x v="1"/>
  </r>
  <r>
    <x v="1373"/>
    <d v="2025-04-11T00:00:00"/>
    <x v="1"/>
    <s v="South"/>
    <s v="Mobile"/>
    <s v="Social"/>
    <x v="1"/>
  </r>
  <r>
    <x v="1374"/>
    <d v="2025-03-25T00:00:00"/>
    <x v="1"/>
    <s v="West"/>
    <s v="Desktop"/>
    <s v="Email"/>
    <x v="2"/>
  </r>
  <r>
    <x v="1375"/>
    <d v="2025-03-24T00:00:00"/>
    <x v="1"/>
    <s v="North"/>
    <s v="Mobile"/>
    <s v="Organic"/>
    <x v="2"/>
  </r>
  <r>
    <x v="1376"/>
    <d v="2025-04-27T00:00:00"/>
    <x v="1"/>
    <s v="East"/>
    <s v="Mobile"/>
    <s v="Organic"/>
    <x v="0"/>
  </r>
  <r>
    <x v="1377"/>
    <d v="2025-01-25T00:00:00"/>
    <x v="1"/>
    <s v="North"/>
    <s v="Desktop"/>
    <s v="Paid Search"/>
    <x v="1"/>
  </r>
  <r>
    <x v="1378"/>
    <d v="2025-02-17T00:00:00"/>
    <x v="1"/>
    <s v="North"/>
    <s v="Tablet"/>
    <s v="Social"/>
    <x v="0"/>
  </r>
  <r>
    <x v="1379"/>
    <d v="2025-04-13T00:00:00"/>
    <x v="1"/>
    <s v="South"/>
    <s v="Desktop"/>
    <s v="Organic"/>
    <x v="1"/>
  </r>
  <r>
    <x v="1380"/>
    <d v="2025-05-03T00:00:00"/>
    <x v="1"/>
    <s v="West"/>
    <s v="Desktop"/>
    <s v="Paid Search"/>
    <x v="2"/>
  </r>
  <r>
    <x v="1381"/>
    <d v="2025-04-29T00:00:00"/>
    <x v="1"/>
    <s v="West"/>
    <s v="Mobile"/>
    <s v="Email"/>
    <x v="1"/>
  </r>
  <r>
    <x v="1382"/>
    <d v="2025-05-03T00:00:00"/>
    <x v="1"/>
    <s v="East"/>
    <s v="Desktop"/>
    <s v="Paid Search"/>
    <x v="1"/>
  </r>
  <r>
    <x v="1383"/>
    <d v="2025-04-28T00:00:00"/>
    <x v="1"/>
    <s v="West"/>
    <s v="Mobile"/>
    <s v="Paid Search"/>
    <x v="1"/>
  </r>
  <r>
    <x v="1384"/>
    <d v="2025-01-21T00:00:00"/>
    <x v="1"/>
    <s v="West"/>
    <s v="Mobile"/>
    <s v="Organic"/>
    <x v="1"/>
  </r>
  <r>
    <x v="1385"/>
    <d v="2025-01-21T00:00:00"/>
    <x v="1"/>
    <s v="North"/>
    <s v="Tablet"/>
    <s v="Paid Search"/>
    <x v="0"/>
  </r>
  <r>
    <x v="1386"/>
    <d v="2025-05-21T00:00:00"/>
    <x v="1"/>
    <s v="West"/>
    <s v="Desktop"/>
    <s v="Paid Search"/>
    <x v="1"/>
  </r>
  <r>
    <x v="1387"/>
    <d v="2025-01-05T00:00:00"/>
    <x v="1"/>
    <s v="North"/>
    <s v="Mobile"/>
    <s v="Referral"/>
    <x v="1"/>
  </r>
  <r>
    <x v="1388"/>
    <d v="2025-03-06T00:00:00"/>
    <x v="1"/>
    <s v="South"/>
    <s v="Desktop"/>
    <s v="Organic"/>
    <x v="1"/>
  </r>
  <r>
    <x v="1389"/>
    <d v="2025-04-18T00:00:00"/>
    <x v="1"/>
    <s v="North"/>
    <s v="Mobile"/>
    <s v="Paid Search"/>
    <x v="1"/>
  </r>
  <r>
    <x v="1390"/>
    <d v="2025-04-15T00:00:00"/>
    <x v="1"/>
    <s v="West"/>
    <s v="Mobile"/>
    <s v="Organic"/>
    <x v="0"/>
  </r>
  <r>
    <x v="1391"/>
    <d v="2025-02-10T00:00:00"/>
    <x v="1"/>
    <s v="East"/>
    <s v="Mobile"/>
    <s v="Paid Search"/>
    <x v="1"/>
  </r>
  <r>
    <x v="1392"/>
    <d v="2025-05-08T00:00:00"/>
    <x v="1"/>
    <s v="East"/>
    <s v="Mobile"/>
    <s v="Organic"/>
    <x v="1"/>
  </r>
  <r>
    <x v="1393"/>
    <d v="2025-05-28T00:00:00"/>
    <x v="1"/>
    <s v="East"/>
    <s v="Tablet"/>
    <s v="Organic"/>
    <x v="1"/>
  </r>
  <r>
    <x v="1394"/>
    <d v="2025-04-25T00:00:00"/>
    <x v="1"/>
    <s v="North"/>
    <s v="Tablet"/>
    <s v="Referral"/>
    <x v="2"/>
  </r>
  <r>
    <x v="1395"/>
    <d v="2025-02-11T00:00:00"/>
    <x v="1"/>
    <s v="South"/>
    <s v="Mobile"/>
    <m/>
    <x v="2"/>
  </r>
  <r>
    <x v="1396"/>
    <d v="2025-04-14T00:00:00"/>
    <x v="1"/>
    <s v="West"/>
    <s v="Mobile"/>
    <s v="Organic"/>
    <x v="1"/>
  </r>
  <r>
    <x v="1397"/>
    <d v="2025-02-04T00:00:00"/>
    <x v="1"/>
    <s v="West"/>
    <s v="Tablet"/>
    <s v="Organic"/>
    <x v="2"/>
  </r>
  <r>
    <x v="1398"/>
    <d v="2025-03-22T00:00:00"/>
    <x v="1"/>
    <s v="East"/>
    <s v="Mobile"/>
    <s v="Referral"/>
    <x v="1"/>
  </r>
  <r>
    <x v="1399"/>
    <d v="2025-04-18T00:00:00"/>
    <x v="1"/>
    <s v="East"/>
    <s v="Desktop"/>
    <s v="Social"/>
    <x v="1"/>
  </r>
  <r>
    <x v="916"/>
    <d v="2025-02-23T00:00:00"/>
    <x v="1"/>
    <s v="West"/>
    <s v="Desktop"/>
    <s v="Social"/>
    <x v="0"/>
  </r>
  <r>
    <x v="432"/>
    <d v="2025-02-03T00:00:00"/>
    <x v="0"/>
    <s v="North"/>
    <s v="Tablet"/>
    <s v="Email"/>
    <x v="0"/>
  </r>
  <r>
    <x v="1361"/>
    <d v="2025-05-23T00:00:00"/>
    <x v="1"/>
    <s v="East"/>
    <s v="Mobile"/>
    <s v="Organic"/>
    <x v="0"/>
  </r>
  <r>
    <x v="95"/>
    <d v="2025-02-05T00:00:00"/>
    <x v="0"/>
    <s v="East"/>
    <s v="Mobile"/>
    <s v="Social"/>
    <x v="1"/>
  </r>
  <r>
    <x v="1209"/>
    <d v="2025-02-24T00:00:00"/>
    <x v="1"/>
    <s v="West"/>
    <s v="Mobile"/>
    <s v="Organic"/>
    <x v="0"/>
  </r>
  <r>
    <x v="1231"/>
    <d v="2025-03-30T00:00:00"/>
    <x v="1"/>
    <s v="East"/>
    <s v="Mobile"/>
    <s v="Organic"/>
    <x v="1"/>
  </r>
  <r>
    <x v="1058"/>
    <d v="2025-05-16T00:00:00"/>
    <x v="1"/>
    <s v="South"/>
    <s v="Mobile"/>
    <s v="Organic"/>
    <x v="1"/>
  </r>
  <r>
    <x v="540"/>
    <d v="2025-05-22T00:00:00"/>
    <x v="0"/>
    <s v="North"/>
    <s v="Mobile"/>
    <s v="Paid Search"/>
    <x v="0"/>
  </r>
  <r>
    <x v="1400"/>
    <m/>
    <x v="2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5" minRefreshableVersion="3" showDrill="0" useAutoFormatting="1" itemPrintTitles="1" createdVersion="5" indent="0" outline="1" outlineData="1" multipleFieldFilters="0">
  <location ref="A3:E9" firstHeaderRow="1" firstDataRow="2" firstDataCol="1"/>
  <pivotFields count="7">
    <pivotField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Col" dataField="1" showAll="0" includeNewItemsInFilter="1" countASubtotal="1">
      <items count="4">
        <item x="0"/>
        <item x="1"/>
        <item x="2"/>
        <item t="countA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experiment_group" fld="2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2:B11" totalsRowShown="0" headerRowBorderDxfId="5" tableBorderDxfId="4">
  <autoFilter ref="A2:B11"/>
  <tableColumns count="2">
    <tableColumn id="1" name="Duplicate User ID" dataDxfId="3"/>
    <tableColumn id="2" name="Column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6" totalsRowShown="0" headerRowBorderDxfId="2" tableBorderDxfId="1">
  <autoFilter ref="A1:B6"/>
  <tableColumns count="2">
    <tableColumn id="1" name="Column" dataDxfId="0"/>
    <tableColumn id="2" name="Values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B7" totalsRowShown="0">
  <autoFilter ref="A1:B7"/>
  <tableColumns count="2">
    <tableColumn id="1" name="Revenue Outliers"/>
    <tableColumn id="2" name="Column1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2:B20" totalsRowShown="0">
  <tableColumns count="2">
    <tableColumn id="1" name="Column1"/>
    <tableColumn id="2" name="Column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09"/>
  <sheetViews>
    <sheetView tabSelected="1" topLeftCell="E1" workbookViewId="0">
      <selection activeCell="H14" sqref="H14"/>
    </sheetView>
  </sheetViews>
  <sheetFormatPr defaultRowHeight="14"/>
  <cols>
    <col min="1" max="16" width="16" customWidth="1"/>
  </cols>
  <sheetData>
    <row r="1" spans="1:18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1457</v>
      </c>
      <c r="R1" s="2" t="s">
        <v>1460</v>
      </c>
    </row>
    <row r="2" spans="1:18">
      <c r="A2" s="3" t="s">
        <v>16</v>
      </c>
      <c r="B2" s="4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>
        <v>45.7</v>
      </c>
      <c r="Q2" t="b">
        <f>COUNTIF($A$2:A2,A2)&gt;1</f>
        <v>0</v>
      </c>
    </row>
    <row r="3" spans="1:18">
      <c r="A3" s="3" t="s">
        <v>22</v>
      </c>
      <c r="B3" s="4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>
        <v>48.6</v>
      </c>
      <c r="Q3" t="b">
        <f>COUNTIF($A$2:A3,A3)&gt;1</f>
        <v>0</v>
      </c>
    </row>
    <row r="4" spans="1:18">
      <c r="A4" s="3" t="s">
        <v>27</v>
      </c>
      <c r="B4" s="4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/>
      <c r="P4" s="3">
        <v>35.4</v>
      </c>
      <c r="Q4" t="b">
        <f>COUNTIF($A$2:A4,A4)&gt;1</f>
        <v>0</v>
      </c>
    </row>
    <row r="5" spans="1:18">
      <c r="A5" s="3" t="s">
        <v>31</v>
      </c>
      <c r="B5" s="4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>
        <v>64.599999999999994</v>
      </c>
      <c r="Q5" t="b">
        <f>COUNTIF($A$2:A5,A5)&gt;1</f>
        <v>0</v>
      </c>
    </row>
    <row r="6" spans="1:18">
      <c r="A6" s="3" t="s">
        <v>33</v>
      </c>
      <c r="B6" s="4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>
        <v>66.599999999999994</v>
      </c>
      <c r="Q6" t="b">
        <f>COUNTIF($A$2:A6,A6)&gt;1</f>
        <v>0</v>
      </c>
    </row>
    <row r="7" spans="1:18">
      <c r="A7" s="3" t="s">
        <v>35</v>
      </c>
      <c r="B7" s="4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>
        <v>40.799999999999997</v>
      </c>
      <c r="Q7" t="b">
        <f>COUNTIF($A$2:A7,A7)&gt;1</f>
        <v>0</v>
      </c>
    </row>
    <row r="8" spans="1:18">
      <c r="A8" s="3" t="s">
        <v>36</v>
      </c>
      <c r="B8" s="4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 s="3">
        <v>57.1</v>
      </c>
      <c r="Q8" t="b">
        <f>COUNTIF($A$2:A8,A8)&gt;1</f>
        <v>0</v>
      </c>
    </row>
    <row r="9" spans="1:18">
      <c r="A9" s="3" t="s">
        <v>37</v>
      </c>
      <c r="B9" s="4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>
        <v>36.4</v>
      </c>
      <c r="Q9" t="b">
        <f>COUNTIF($A$2:A9,A9)&gt;1</f>
        <v>0</v>
      </c>
    </row>
    <row r="10" spans="1:18">
      <c r="A10" s="3" t="s">
        <v>38</v>
      </c>
      <c r="B10" s="4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 s="3">
        <v>55.4</v>
      </c>
      <c r="Q10" t="b">
        <f>COUNTIF($A$2:A10,A10)&gt;1</f>
        <v>0</v>
      </c>
    </row>
    <row r="11" spans="1:18">
      <c r="A11" s="3" t="s">
        <v>40</v>
      </c>
      <c r="B11" s="4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>
        <v>57.3</v>
      </c>
      <c r="Q11" t="b">
        <f>COUNTIF($A$2:A11,A11)&gt;1</f>
        <v>0</v>
      </c>
    </row>
    <row r="12" spans="1:18">
      <c r="A12" s="3" t="s">
        <v>42</v>
      </c>
      <c r="B12" s="4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/>
      <c r="P12" s="3">
        <v>63.6</v>
      </c>
      <c r="Q12" t="b">
        <f>COUNTIF($A$2:A12,A12)&gt;1</f>
        <v>0</v>
      </c>
    </row>
    <row r="13" spans="1:18">
      <c r="A13" s="3" t="s">
        <v>43</v>
      </c>
      <c r="B13" s="4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/>
      <c r="P13" s="3">
        <v>80.400000000000006</v>
      </c>
      <c r="Q13" t="b">
        <f>COUNTIF($A$2:A13,A13)&gt;1</f>
        <v>0</v>
      </c>
    </row>
    <row r="14" spans="1:18">
      <c r="A14" s="3" t="s">
        <v>44</v>
      </c>
      <c r="B14" s="4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>
        <v>62.4</v>
      </c>
      <c r="Q14" t="b">
        <f>COUNTIF($A$2:A14,A14)&gt;1</f>
        <v>0</v>
      </c>
    </row>
    <row r="15" spans="1:18">
      <c r="A15" s="3" t="s">
        <v>45</v>
      </c>
      <c r="B15" s="4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>
        <v>82.4</v>
      </c>
      <c r="Q15" t="b">
        <f>COUNTIF($A$2:A15,A15)&gt;1</f>
        <v>0</v>
      </c>
    </row>
    <row r="16" spans="1:18">
      <c r="A16" s="3" t="s">
        <v>46</v>
      </c>
      <c r="B16" s="4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>
        <v>61.2</v>
      </c>
      <c r="Q16" t="b">
        <f>COUNTIF($A$2:A16,A16)&gt;1</f>
        <v>0</v>
      </c>
    </row>
    <row r="17" spans="1:17">
      <c r="A17" s="3" t="s">
        <v>47</v>
      </c>
      <c r="B17" s="4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>
        <v>68.900000000000006</v>
      </c>
      <c r="Q17" t="b">
        <f>COUNTIF($A$2:A17,A17)&gt;1</f>
        <v>0</v>
      </c>
    </row>
    <row r="18" spans="1:17">
      <c r="A18" s="3" t="s">
        <v>48</v>
      </c>
      <c r="B18" s="4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/>
      <c r="P18" s="3">
        <v>71.900000000000006</v>
      </c>
      <c r="Q18" t="b">
        <f>COUNTIF($A$2:A18,A18)&gt;1</f>
        <v>0</v>
      </c>
    </row>
    <row r="19" spans="1:17">
      <c r="A19" s="3" t="s">
        <v>49</v>
      </c>
      <c r="B19" s="4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>
        <v>50.5</v>
      </c>
      <c r="Q19" t="b">
        <f>COUNTIF($A$2:A19,A19)&gt;1</f>
        <v>0</v>
      </c>
    </row>
    <row r="20" spans="1:17">
      <c r="A20" s="3" t="s">
        <v>50</v>
      </c>
      <c r="B20" s="4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>
        <v>49.3</v>
      </c>
      <c r="Q20" t="b">
        <f>COUNTIF($A$2:A20,A20)&gt;1</f>
        <v>0</v>
      </c>
    </row>
    <row r="21" spans="1:17">
      <c r="A21" s="3" t="s">
        <v>51</v>
      </c>
      <c r="B21" s="4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/>
      <c r="P21" s="3">
        <v>60.9</v>
      </c>
      <c r="Q21" t="b">
        <f>COUNTIF($A$2:A21,A21)&gt;1</f>
        <v>0</v>
      </c>
    </row>
    <row r="22" spans="1:17">
      <c r="A22" s="3" t="s">
        <v>52</v>
      </c>
      <c r="B22" s="4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>
        <v>62.7</v>
      </c>
      <c r="Q22" t="b">
        <f>COUNTIF($A$2:A22,A22)&gt;1</f>
        <v>0</v>
      </c>
    </row>
    <row r="23" spans="1:17">
      <c r="A23" s="3" t="s">
        <v>53</v>
      </c>
      <c r="B23" s="4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>
        <v>52.7</v>
      </c>
      <c r="Q23" t="b">
        <f>COUNTIF($A$2:A23,A23)&gt;1</f>
        <v>0</v>
      </c>
    </row>
    <row r="24" spans="1:17">
      <c r="A24" s="3" t="s">
        <v>54</v>
      </c>
      <c r="B24" s="4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>
        <v>54</v>
      </c>
      <c r="Q24" t="b">
        <f>COUNTIF($A$2:A24,A24)&gt;1</f>
        <v>0</v>
      </c>
    </row>
    <row r="25" spans="1:17">
      <c r="A25" s="3" t="s">
        <v>55</v>
      </c>
      <c r="B25" s="4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>
        <v>51.6</v>
      </c>
      <c r="Q25" t="b">
        <f>COUNTIF($A$2:A25,A25)&gt;1</f>
        <v>0</v>
      </c>
    </row>
    <row r="26" spans="1:17">
      <c r="A26" s="3" t="s">
        <v>56</v>
      </c>
      <c r="B26" s="4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0</v>
      </c>
      <c r="O26" s="3"/>
      <c r="P26" s="3">
        <v>66.900000000000006</v>
      </c>
      <c r="Q26" t="b">
        <f>COUNTIF($A$2:A26,A26)&gt;1</f>
        <v>0</v>
      </c>
    </row>
    <row r="27" spans="1:17">
      <c r="A27" s="3" t="s">
        <v>57</v>
      </c>
      <c r="B27" s="4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 s="3">
        <v>67.400000000000006</v>
      </c>
      <c r="Q27" t="b">
        <f>COUNTIF($A$2:A27,A27)&gt;1</f>
        <v>0</v>
      </c>
    </row>
    <row r="28" spans="1:17">
      <c r="A28" s="3" t="s">
        <v>58</v>
      </c>
      <c r="B28" s="4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>
        <v>58.8</v>
      </c>
      <c r="Q28" t="b">
        <f>COUNTIF($A$2:A28,A28)&gt;1</f>
        <v>0</v>
      </c>
    </row>
    <row r="29" spans="1:17">
      <c r="A29" s="3" t="s">
        <v>59</v>
      </c>
      <c r="B29" s="4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 s="3">
        <v>73.8</v>
      </c>
      <c r="Q29" t="b">
        <f>COUNTIF($A$2:A29,A29)&gt;1</f>
        <v>0</v>
      </c>
    </row>
    <row r="30" spans="1:17">
      <c r="A30" s="3" t="s">
        <v>60</v>
      </c>
      <c r="B30" s="4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 s="3">
        <v>60.1</v>
      </c>
      <c r="Q30" t="b">
        <f>COUNTIF($A$2:A30,A30)&gt;1</f>
        <v>0</v>
      </c>
    </row>
    <row r="31" spans="1:17">
      <c r="A31" s="3" t="s">
        <v>61</v>
      </c>
      <c r="B31" s="4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/>
      <c r="P31" s="3">
        <v>41</v>
      </c>
      <c r="Q31" t="b">
        <f>COUNTIF($A$2:A31,A31)&gt;1</f>
        <v>0</v>
      </c>
    </row>
    <row r="32" spans="1:17">
      <c r="A32" s="3" t="s">
        <v>62</v>
      </c>
      <c r="B32" s="4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 s="3">
        <v>80.3</v>
      </c>
      <c r="Q32" t="b">
        <f>COUNTIF($A$2:A32,A32)&gt;1</f>
        <v>0</v>
      </c>
    </row>
    <row r="33" spans="1:17">
      <c r="A33" s="3" t="s">
        <v>63</v>
      </c>
      <c r="B33" s="4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 s="3">
        <v>67.599999999999994</v>
      </c>
      <c r="Q33" t="b">
        <f>COUNTIF($A$2:A33,A33)&gt;1</f>
        <v>0</v>
      </c>
    </row>
    <row r="34" spans="1:17">
      <c r="A34" s="3" t="s">
        <v>64</v>
      </c>
      <c r="B34" s="4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  <c r="P34" s="3">
        <v>64</v>
      </c>
      <c r="Q34" t="b">
        <f>COUNTIF($A$2:A34,A34)&gt;1</f>
        <v>0</v>
      </c>
    </row>
    <row r="35" spans="1:17">
      <c r="A35" s="3" t="s">
        <v>65</v>
      </c>
      <c r="B35" s="4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 s="3">
        <v>27.2</v>
      </c>
      <c r="Q35" t="b">
        <f>COUNTIF($A$2:A35,A35)&gt;1</f>
        <v>0</v>
      </c>
    </row>
    <row r="36" spans="1:17">
      <c r="A36" s="3" t="s">
        <v>66</v>
      </c>
      <c r="B36" s="4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>
        <v>85.4</v>
      </c>
      <c r="Q36" t="b">
        <f>COUNTIF($A$2:A36,A36)&gt;1</f>
        <v>0</v>
      </c>
    </row>
    <row r="37" spans="1:17">
      <c r="A37" s="3" t="s">
        <v>67</v>
      </c>
      <c r="B37" s="4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>
        <v>75.900000000000006</v>
      </c>
      <c r="Q37" t="b">
        <f>COUNTIF($A$2:A37,A37)&gt;1</f>
        <v>0</v>
      </c>
    </row>
    <row r="38" spans="1:17">
      <c r="A38" s="3" t="s">
        <v>68</v>
      </c>
      <c r="B38" s="4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/>
      <c r="P38" s="3">
        <v>34.799999999999997</v>
      </c>
      <c r="Q38" t="b">
        <f>COUNTIF($A$2:A38,A38)&gt;1</f>
        <v>0</v>
      </c>
    </row>
    <row r="39" spans="1:17">
      <c r="A39" s="3" t="s">
        <v>69</v>
      </c>
      <c r="B39" s="4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3</v>
      </c>
      <c r="N39" s="3">
        <v>0</v>
      </c>
      <c r="O39" s="3"/>
      <c r="P39" s="3">
        <v>48.9</v>
      </c>
      <c r="Q39" t="b">
        <f>COUNTIF($A$2:A39,A39)&gt;1</f>
        <v>0</v>
      </c>
    </row>
    <row r="40" spans="1:17">
      <c r="A40" s="3" t="s">
        <v>70</v>
      </c>
      <c r="B40" s="4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/>
      <c r="P40" s="3">
        <v>41.5</v>
      </c>
      <c r="Q40" t="b">
        <f>COUNTIF($A$2:A40,A40)&gt;1</f>
        <v>0</v>
      </c>
    </row>
    <row r="41" spans="1:17">
      <c r="A41" s="3" t="s">
        <v>71</v>
      </c>
      <c r="B41" s="4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 s="3">
        <v>51.5</v>
      </c>
      <c r="Q41" t="b">
        <f>COUNTIF($A$2:A41,A41)&gt;1</f>
        <v>0</v>
      </c>
    </row>
    <row r="42" spans="1:17">
      <c r="A42" s="3" t="s">
        <v>72</v>
      </c>
      <c r="B42" s="4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 s="3">
        <v>53.2</v>
      </c>
      <c r="Q42" t="b">
        <f>COUNTIF($A$2:A42,A42)&gt;1</f>
        <v>0</v>
      </c>
    </row>
    <row r="43" spans="1:17">
      <c r="A43" s="3" t="s">
        <v>73</v>
      </c>
      <c r="B43" s="4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  <c r="P43" s="3">
        <v>55.6</v>
      </c>
      <c r="Q43" t="b">
        <f>COUNTIF($A$2:A43,A43)&gt;1</f>
        <v>0</v>
      </c>
    </row>
    <row r="44" spans="1:17">
      <c r="A44" s="3" t="s">
        <v>74</v>
      </c>
      <c r="B44" s="4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 s="3">
        <v>73</v>
      </c>
      <c r="Q44" t="b">
        <f>COUNTIF($A$2:A44,A44)&gt;1</f>
        <v>0</v>
      </c>
    </row>
    <row r="45" spans="1:17">
      <c r="A45" s="3" t="s">
        <v>75</v>
      </c>
      <c r="B45" s="4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 s="3">
        <v>65</v>
      </c>
      <c r="Q45" t="b">
        <f>COUNTIF($A$2:A45,A45)&gt;1</f>
        <v>0</v>
      </c>
    </row>
    <row r="46" spans="1:17">
      <c r="A46" s="3" t="s">
        <v>76</v>
      </c>
      <c r="B46" s="4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0</v>
      </c>
      <c r="O46" s="3"/>
      <c r="P46" s="3">
        <v>56.3</v>
      </c>
      <c r="Q46" t="b">
        <f>COUNTIF($A$2:A46,A46)&gt;1</f>
        <v>0</v>
      </c>
    </row>
    <row r="47" spans="1:17">
      <c r="A47" s="3" t="s">
        <v>77</v>
      </c>
      <c r="B47" s="4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 s="3">
        <v>62.4</v>
      </c>
      <c r="Q47" t="b">
        <f>COUNTIF($A$2:A47,A47)&gt;1</f>
        <v>0</v>
      </c>
    </row>
    <row r="48" spans="1:17">
      <c r="A48" s="3" t="s">
        <v>78</v>
      </c>
      <c r="B48" s="4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/>
      <c r="P48" s="3">
        <v>58.1</v>
      </c>
      <c r="Q48" t="b">
        <f>COUNTIF($A$2:A48,A48)&gt;1</f>
        <v>0</v>
      </c>
    </row>
    <row r="49" spans="1:17">
      <c r="A49" s="3" t="s">
        <v>79</v>
      </c>
      <c r="B49" s="4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/>
      <c r="P49" s="3">
        <v>80.8</v>
      </c>
      <c r="Q49" t="b">
        <f>COUNTIF($A$2:A49,A49)&gt;1</f>
        <v>0</v>
      </c>
    </row>
    <row r="50" spans="1:17">
      <c r="A50" s="3" t="s">
        <v>80</v>
      </c>
      <c r="B50" s="4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 s="3">
        <v>42.9</v>
      </c>
      <c r="Q50" t="b">
        <f>COUNTIF($A$2:A50,A50)&gt;1</f>
        <v>0</v>
      </c>
    </row>
    <row r="51" spans="1:17">
      <c r="A51" s="3" t="s">
        <v>81</v>
      </c>
      <c r="B51" s="4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>
        <v>52.7</v>
      </c>
      <c r="Q51" t="b">
        <f>COUNTIF($A$2:A51,A51)&gt;1</f>
        <v>0</v>
      </c>
    </row>
    <row r="52" spans="1:17">
      <c r="A52" s="3" t="s">
        <v>82</v>
      </c>
      <c r="B52" s="4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>
        <v>46.9</v>
      </c>
      <c r="Q52" t="b">
        <f>COUNTIF($A$2:A52,A52)&gt;1</f>
        <v>0</v>
      </c>
    </row>
    <row r="53" spans="1:17">
      <c r="A53" s="3" t="s">
        <v>83</v>
      </c>
      <c r="B53" s="4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  <c r="P53" s="3">
        <v>63</v>
      </c>
      <c r="Q53" t="b">
        <f>COUNTIF($A$2:A53,A53)&gt;1</f>
        <v>0</v>
      </c>
    </row>
    <row r="54" spans="1:17">
      <c r="A54" s="3" t="s">
        <v>84</v>
      </c>
      <c r="B54" s="4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>
        <v>53.6</v>
      </c>
      <c r="Q54" t="b">
        <f>COUNTIF($A$2:A54,A54)&gt;1</f>
        <v>0</v>
      </c>
    </row>
    <row r="55" spans="1:17">
      <c r="A55" s="3" t="s">
        <v>85</v>
      </c>
      <c r="B55" s="4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 s="3">
        <v>49.6</v>
      </c>
      <c r="Q55" t="b">
        <f>COUNTIF($A$2:A55,A55)&gt;1</f>
        <v>0</v>
      </c>
    </row>
    <row r="56" spans="1:17">
      <c r="A56" s="3" t="s">
        <v>86</v>
      </c>
      <c r="B56" s="4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 s="3">
        <v>54</v>
      </c>
      <c r="Q56" t="b">
        <f>COUNTIF($A$2:A56,A56)&gt;1</f>
        <v>0</v>
      </c>
    </row>
    <row r="57" spans="1:17">
      <c r="A57" s="3" t="s">
        <v>87</v>
      </c>
      <c r="B57" s="4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0</v>
      </c>
      <c r="O57" s="3"/>
      <c r="P57" s="3">
        <v>50</v>
      </c>
      <c r="Q57" t="b">
        <f>COUNTIF($A$2:A57,A57)&gt;1</f>
        <v>0</v>
      </c>
    </row>
    <row r="58" spans="1:17">
      <c r="A58" s="3" t="s">
        <v>88</v>
      </c>
      <c r="B58" s="4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 s="3">
        <v>48.1</v>
      </c>
      <c r="Q58" t="b">
        <f>COUNTIF($A$2:A58,A58)&gt;1</f>
        <v>0</v>
      </c>
    </row>
    <row r="59" spans="1:17">
      <c r="A59" s="3" t="s">
        <v>89</v>
      </c>
      <c r="B59" s="4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 s="3">
        <v>49.6</v>
      </c>
      <c r="Q59" t="b">
        <f>COUNTIF($A$2:A59,A59)&gt;1</f>
        <v>0</v>
      </c>
    </row>
    <row r="60" spans="1:17">
      <c r="A60" s="3" t="s">
        <v>90</v>
      </c>
      <c r="B60" s="4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3"/>
      <c r="P60" s="3">
        <v>48.9</v>
      </c>
      <c r="Q60" t="b">
        <f>COUNTIF($A$2:A60,A60)&gt;1</f>
        <v>0</v>
      </c>
    </row>
    <row r="61" spans="1:17">
      <c r="A61" s="3" t="s">
        <v>91</v>
      </c>
      <c r="B61" s="4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</v>
      </c>
      <c r="I61" s="3">
        <v>1</v>
      </c>
      <c r="J61" s="3">
        <v>1</v>
      </c>
      <c r="K61" s="3">
        <v>1</v>
      </c>
      <c r="L61" s="3">
        <v>240.42</v>
      </c>
      <c r="M61" s="3">
        <v>0</v>
      </c>
      <c r="N61" s="3">
        <v>0</v>
      </c>
      <c r="O61" s="3">
        <v>16</v>
      </c>
      <c r="P61" s="3">
        <v>56.5</v>
      </c>
      <c r="Q61" t="b">
        <f>COUNTIF($A$2:A61,A61)&gt;1</f>
        <v>0</v>
      </c>
    </row>
    <row r="62" spans="1:17">
      <c r="A62" s="3" t="s">
        <v>92</v>
      </c>
      <c r="B62" s="4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>
        <v>53.7</v>
      </c>
      <c r="Q62" t="b">
        <f>COUNTIF($A$2:A62,A62)&gt;1</f>
        <v>0</v>
      </c>
    </row>
    <row r="63" spans="1:17">
      <c r="A63" s="3" t="s">
        <v>93</v>
      </c>
      <c r="B63" s="4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 s="3">
        <v>62.2</v>
      </c>
      <c r="Q63" t="b">
        <f>COUNTIF($A$2:A63,A63)&gt;1</f>
        <v>0</v>
      </c>
    </row>
    <row r="64" spans="1:17">
      <c r="A64" s="3" t="s">
        <v>94</v>
      </c>
      <c r="B64" s="4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 s="3">
        <v>50.2</v>
      </c>
      <c r="Q64" t="b">
        <f>COUNTIF($A$2:A64,A64)&gt;1</f>
        <v>0</v>
      </c>
    </row>
    <row r="65" spans="1:17">
      <c r="A65" s="3" t="s">
        <v>95</v>
      </c>
      <c r="B65" s="4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 s="3">
        <v>74.3</v>
      </c>
      <c r="Q65" t="b">
        <f>COUNTIF($A$2:A65,A65)&gt;1</f>
        <v>0</v>
      </c>
    </row>
    <row r="66" spans="1:17">
      <c r="A66" s="3" t="s">
        <v>96</v>
      </c>
      <c r="B66" s="4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 s="3">
        <v>58</v>
      </c>
      <c r="Q66" t="b">
        <f>COUNTIF($A$2:A66,A66)&gt;1</f>
        <v>0</v>
      </c>
    </row>
    <row r="67" spans="1:17">
      <c r="A67" s="3" t="s">
        <v>97</v>
      </c>
      <c r="B67" s="4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 s="3">
        <v>46.7</v>
      </c>
      <c r="Q67" t="b">
        <f>COUNTIF($A$2:A67,A67)&gt;1</f>
        <v>0</v>
      </c>
    </row>
    <row r="68" spans="1:17">
      <c r="A68" s="3" t="s">
        <v>98</v>
      </c>
      <c r="B68" s="4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/>
      <c r="P68" s="3">
        <v>49.6</v>
      </c>
      <c r="Q68" t="b">
        <f>COUNTIF($A$2:A68,A68)&gt;1</f>
        <v>0</v>
      </c>
    </row>
    <row r="69" spans="1:17">
      <c r="A69" s="3" t="s">
        <v>99</v>
      </c>
      <c r="B69" s="4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 s="3">
        <v>60.4</v>
      </c>
      <c r="Q69" t="b">
        <f>COUNTIF($A$2:A69,A69)&gt;1</f>
        <v>0</v>
      </c>
    </row>
    <row r="70" spans="1:17">
      <c r="A70" s="3" t="s">
        <v>100</v>
      </c>
      <c r="B70" s="4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 s="3">
        <v>55.3</v>
      </c>
      <c r="Q70" t="b">
        <f>COUNTIF($A$2:A70,A70)&gt;1</f>
        <v>0</v>
      </c>
    </row>
    <row r="71" spans="1:17">
      <c r="A71" s="3" t="s">
        <v>101</v>
      </c>
      <c r="B71" s="4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  <c r="P71" s="3">
        <v>56.2</v>
      </c>
      <c r="Q71" t="b">
        <f>COUNTIF($A$2:A71,A71)&gt;1</f>
        <v>0</v>
      </c>
    </row>
    <row r="72" spans="1:17">
      <c r="A72" s="3" t="s">
        <v>102</v>
      </c>
      <c r="B72" s="4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29.4</v>
      </c>
      <c r="Q72" t="b">
        <f>COUNTIF($A$2:A72,A72)&gt;1</f>
        <v>0</v>
      </c>
    </row>
    <row r="73" spans="1:17">
      <c r="A73" s="3" t="s">
        <v>103</v>
      </c>
      <c r="B73" s="4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 s="3">
        <v>54.2</v>
      </c>
      <c r="Q73" t="b">
        <f>COUNTIF($A$2:A73,A73)&gt;1</f>
        <v>0</v>
      </c>
    </row>
    <row r="74" spans="1:17">
      <c r="A74" s="3" t="s">
        <v>104</v>
      </c>
      <c r="B74" s="4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 s="3">
        <v>46.4</v>
      </c>
      <c r="Q74" t="b">
        <f>COUNTIF($A$2:A74,A74)&gt;1</f>
        <v>0</v>
      </c>
    </row>
    <row r="75" spans="1:17">
      <c r="A75" s="3" t="s">
        <v>105</v>
      </c>
      <c r="B75" s="4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 s="3">
        <v>54.5</v>
      </c>
      <c r="Q75" t="b">
        <f>COUNTIF($A$2:A75,A75)&gt;1</f>
        <v>0</v>
      </c>
    </row>
    <row r="76" spans="1:17">
      <c r="A76" s="3" t="s">
        <v>106</v>
      </c>
      <c r="B76" s="4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 s="3">
        <v>58.5</v>
      </c>
      <c r="Q76" t="b">
        <f>COUNTIF($A$2:A76,A76)&gt;1</f>
        <v>0</v>
      </c>
    </row>
    <row r="77" spans="1:17">
      <c r="A77" s="3" t="s">
        <v>107</v>
      </c>
      <c r="B77" s="4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 s="3">
        <v>75.900000000000006</v>
      </c>
      <c r="Q77" t="b">
        <f>COUNTIF($A$2:A77,A77)&gt;1</f>
        <v>0</v>
      </c>
    </row>
    <row r="78" spans="1:17">
      <c r="A78" s="3" t="s">
        <v>108</v>
      </c>
      <c r="B78" s="4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/>
      <c r="P78" s="3">
        <v>84.9</v>
      </c>
      <c r="Q78" t="b">
        <f>COUNTIF($A$2:A78,A78)&gt;1</f>
        <v>0</v>
      </c>
    </row>
    <row r="79" spans="1:17">
      <c r="A79" s="3" t="s">
        <v>109</v>
      </c>
      <c r="B79" s="4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 s="3">
        <v>48.4</v>
      </c>
      <c r="Q79" t="b">
        <f>COUNTIF($A$2:A79,A79)&gt;1</f>
        <v>0</v>
      </c>
    </row>
    <row r="80" spans="1:17">
      <c r="A80" s="3" t="s">
        <v>110</v>
      </c>
      <c r="B80" s="4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</v>
      </c>
      <c r="I80" s="3">
        <v>1</v>
      </c>
      <c r="J80" s="3">
        <v>1</v>
      </c>
      <c r="K80" s="3">
        <v>1</v>
      </c>
      <c r="L80" s="3">
        <v>457.51</v>
      </c>
      <c r="M80" s="3">
        <v>0</v>
      </c>
      <c r="N80" s="3">
        <v>0</v>
      </c>
      <c r="O80" s="3">
        <v>7</v>
      </c>
      <c r="P80" s="3">
        <v>38</v>
      </c>
      <c r="Q80" t="b">
        <f>COUNTIF($A$2:A80,A80)&gt;1</f>
        <v>0</v>
      </c>
    </row>
    <row r="81" spans="1:17">
      <c r="A81" s="3" t="s">
        <v>111</v>
      </c>
      <c r="B81" s="4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 s="3">
        <v>44.2</v>
      </c>
      <c r="Q81" t="b">
        <f>COUNTIF($A$2:A81,A81)&gt;1</f>
        <v>0</v>
      </c>
    </row>
    <row r="82" spans="1:17">
      <c r="A82" s="3" t="s">
        <v>112</v>
      </c>
      <c r="B82" s="4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/>
      <c r="P82" s="3">
        <v>81.2</v>
      </c>
      <c r="Q82" t="b">
        <f>COUNTIF($A$2:A82,A82)&gt;1</f>
        <v>0</v>
      </c>
    </row>
    <row r="83" spans="1:17">
      <c r="A83" s="3" t="s">
        <v>113</v>
      </c>
      <c r="B83" s="4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 s="3">
        <v>63.8</v>
      </c>
      <c r="Q83" t="b">
        <f>COUNTIF($A$2:A83,A83)&gt;1</f>
        <v>0</v>
      </c>
    </row>
    <row r="84" spans="1:17">
      <c r="A84" s="3" t="s">
        <v>114</v>
      </c>
      <c r="B84" s="4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 s="3">
        <v>64.7</v>
      </c>
      <c r="Q84" t="b">
        <f>COUNTIF($A$2:A84,A84)&gt;1</f>
        <v>0</v>
      </c>
    </row>
    <row r="85" spans="1:17">
      <c r="A85" s="3" t="s">
        <v>115</v>
      </c>
      <c r="B85" s="4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 s="3">
        <v>60.4</v>
      </c>
      <c r="Q85" t="b">
        <f>COUNTIF($A$2:A85,A85)&gt;1</f>
        <v>0</v>
      </c>
    </row>
    <row r="86" spans="1:17">
      <c r="A86" s="3" t="s">
        <v>116</v>
      </c>
      <c r="B86" s="4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 s="3">
        <v>66.599999999999994</v>
      </c>
      <c r="Q86" t="b">
        <f>COUNTIF($A$2:A86,A86)&gt;1</f>
        <v>0</v>
      </c>
    </row>
    <row r="87" spans="1:17">
      <c r="A87" s="3" t="s">
        <v>117</v>
      </c>
      <c r="B87" s="4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 s="3">
        <v>50.9</v>
      </c>
      <c r="Q87" t="b">
        <f>COUNTIF($A$2:A87,A87)&gt;1</f>
        <v>0</v>
      </c>
    </row>
    <row r="88" spans="1:17">
      <c r="A88" s="3" t="s">
        <v>118</v>
      </c>
      <c r="B88" s="4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 s="3">
        <v>51</v>
      </c>
      <c r="Q88" t="b">
        <f>COUNTIF($A$2:A88,A88)&gt;1</f>
        <v>0</v>
      </c>
    </row>
    <row r="89" spans="1:17">
      <c r="A89" s="3" t="s">
        <v>119</v>
      </c>
      <c r="B89" s="4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  <c r="P89" s="3">
        <v>65.8</v>
      </c>
      <c r="Q89" t="b">
        <f>COUNTIF($A$2:A89,A89)&gt;1</f>
        <v>0</v>
      </c>
    </row>
    <row r="90" spans="1:17">
      <c r="A90" s="3" t="s">
        <v>120</v>
      </c>
      <c r="B90" s="4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 s="3">
        <v>61.8</v>
      </c>
      <c r="Q90" t="b">
        <f>COUNTIF($A$2:A90,A90)&gt;1</f>
        <v>0</v>
      </c>
    </row>
    <row r="91" spans="1:17">
      <c r="A91" s="3" t="s">
        <v>121</v>
      </c>
      <c r="B91" s="4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  <c r="P91" s="3">
        <v>54.5</v>
      </c>
      <c r="Q91" t="b">
        <f>COUNTIF($A$2:A91,A91)&gt;1</f>
        <v>0</v>
      </c>
    </row>
    <row r="92" spans="1:17">
      <c r="A92" s="3" t="s">
        <v>122</v>
      </c>
      <c r="B92" s="4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 s="3">
        <v>72.2</v>
      </c>
      <c r="Q92" t="b">
        <f>COUNTIF($A$2:A92,A92)&gt;1</f>
        <v>0</v>
      </c>
    </row>
    <row r="93" spans="1:17">
      <c r="A93" s="3" t="s">
        <v>123</v>
      </c>
      <c r="B93" s="4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 s="3">
        <v>42.3</v>
      </c>
      <c r="Q93" t="b">
        <f>COUNTIF($A$2:A93,A93)&gt;1</f>
        <v>0</v>
      </c>
    </row>
    <row r="94" spans="1:17">
      <c r="A94" s="3" t="s">
        <v>124</v>
      </c>
      <c r="B94" s="4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 s="3">
        <v>76.2</v>
      </c>
      <c r="Q94" t="b">
        <f>COUNTIF($A$2:A94,A94)&gt;1</f>
        <v>0</v>
      </c>
    </row>
    <row r="95" spans="1:17">
      <c r="A95" s="3" t="s">
        <v>125</v>
      </c>
      <c r="B95" s="4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</v>
      </c>
      <c r="I95" s="3">
        <v>1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/>
      <c r="P95" s="3">
        <v>37.4</v>
      </c>
      <c r="Q95" t="b">
        <f>COUNTIF($A$2:A95,A95)&gt;1</f>
        <v>0</v>
      </c>
    </row>
    <row r="96" spans="1:17">
      <c r="A96" s="3" t="s">
        <v>126</v>
      </c>
      <c r="B96" s="4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 s="3">
        <v>84.2</v>
      </c>
      <c r="Q96" t="b">
        <f>COUNTIF($A$2:A96,A96)&gt;1</f>
        <v>0</v>
      </c>
    </row>
    <row r="97" spans="1:17">
      <c r="A97" s="3" t="s">
        <v>127</v>
      </c>
      <c r="B97" s="4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 s="3">
        <v>68</v>
      </c>
      <c r="Q97" t="b">
        <f>COUNTIF($A$2:A97,A97)&gt;1</f>
        <v>0</v>
      </c>
    </row>
    <row r="98" spans="1:17">
      <c r="A98" s="3" t="s">
        <v>128</v>
      </c>
      <c r="B98" s="4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 s="3">
        <v>53.5</v>
      </c>
      <c r="Q98" t="b">
        <f>COUNTIF($A$2:A98,A98)&gt;1</f>
        <v>0</v>
      </c>
    </row>
    <row r="99" spans="1:17">
      <c r="A99" s="3" t="s">
        <v>129</v>
      </c>
      <c r="B99" s="4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  <c r="P99" s="3">
        <v>63.2</v>
      </c>
      <c r="Q99" t="b">
        <f>COUNTIF($A$2:A99,A99)&gt;1</f>
        <v>0</v>
      </c>
    </row>
    <row r="100" spans="1:17">
      <c r="A100" s="3" t="s">
        <v>130</v>
      </c>
      <c r="B100" s="4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</v>
      </c>
      <c r="I100" s="3">
        <v>1</v>
      </c>
      <c r="J100" s="3">
        <v>1</v>
      </c>
      <c r="K100" s="3">
        <v>1</v>
      </c>
      <c r="L100" s="3">
        <v>363.32</v>
      </c>
      <c r="M100" s="3">
        <v>0</v>
      </c>
      <c r="N100" s="3">
        <v>0</v>
      </c>
      <c r="O100" s="3">
        <v>9</v>
      </c>
      <c r="P100" s="3">
        <v>55.9</v>
      </c>
      <c r="Q100" t="b">
        <f>COUNTIF($A$2:A100,A100)&gt;1</f>
        <v>0</v>
      </c>
    </row>
    <row r="101" spans="1:17">
      <c r="A101" s="3" t="s">
        <v>131</v>
      </c>
      <c r="B101" s="4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 s="3">
        <v>63.5</v>
      </c>
      <c r="Q101" t="b">
        <f>COUNTIF($A$2:A101,A101)&gt;1</f>
        <v>0</v>
      </c>
    </row>
    <row r="102" spans="1:17">
      <c r="A102" s="3" t="s">
        <v>132</v>
      </c>
      <c r="B102" s="4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  <c r="P102" s="3">
        <v>51.5</v>
      </c>
      <c r="Q102" t="b">
        <f>COUNTIF($A$2:A102,A102)&gt;1</f>
        <v>0</v>
      </c>
    </row>
    <row r="103" spans="1:17">
      <c r="A103" s="3" t="s">
        <v>133</v>
      </c>
      <c r="B103" s="4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 s="3">
        <v>74.400000000000006</v>
      </c>
      <c r="Q103" t="b">
        <f>COUNTIF($A$2:A103,A103)&gt;1</f>
        <v>0</v>
      </c>
    </row>
    <row r="104" spans="1:17">
      <c r="A104" s="3" t="s">
        <v>134</v>
      </c>
      <c r="B104" s="4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</v>
      </c>
      <c r="I104" s="3">
        <v>1</v>
      </c>
      <c r="J104" s="3">
        <v>1</v>
      </c>
      <c r="K104" s="3">
        <v>1</v>
      </c>
      <c r="L104" s="3">
        <v>3887.98</v>
      </c>
      <c r="M104" s="3">
        <v>0</v>
      </c>
      <c r="N104" s="3">
        <v>0</v>
      </c>
      <c r="O104" s="3">
        <v>13</v>
      </c>
      <c r="P104" s="3">
        <v>60.2</v>
      </c>
      <c r="Q104" t="b">
        <f>COUNTIF($A$2:A104,A104)&gt;1</f>
        <v>0</v>
      </c>
    </row>
    <row r="105" spans="1:17">
      <c r="A105" s="3" t="s">
        <v>135</v>
      </c>
      <c r="B105" s="4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/>
      <c r="P105" s="3">
        <v>67.2</v>
      </c>
      <c r="Q105" t="b">
        <f>COUNTIF($A$2:A105,A105)&gt;1</f>
        <v>0</v>
      </c>
    </row>
    <row r="106" spans="1:17">
      <c r="A106" s="3" t="s">
        <v>136</v>
      </c>
      <c r="B106" s="4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/>
      <c r="P106" s="3">
        <v>79.599999999999994</v>
      </c>
      <c r="Q106" t="b">
        <f>COUNTIF($A$2:A106,A106)&gt;1</f>
        <v>0</v>
      </c>
    </row>
    <row r="107" spans="1:17">
      <c r="A107" s="3" t="s">
        <v>137</v>
      </c>
      <c r="B107" s="4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</v>
      </c>
      <c r="I107" s="3">
        <v>1</v>
      </c>
      <c r="J107" s="3">
        <v>1</v>
      </c>
      <c r="K107" s="3">
        <v>1</v>
      </c>
      <c r="L107" s="3">
        <v>8610.7199999999993</v>
      </c>
      <c r="M107" s="3">
        <v>0</v>
      </c>
      <c r="N107" s="3">
        <v>0</v>
      </c>
      <c r="O107" s="3">
        <v>6</v>
      </c>
      <c r="P107" s="3">
        <v>61</v>
      </c>
      <c r="Q107" t="b">
        <f>COUNTIF($A$2:A107,A107)&gt;1</f>
        <v>0</v>
      </c>
    </row>
    <row r="108" spans="1:17">
      <c r="A108" s="3" t="s">
        <v>138</v>
      </c>
      <c r="B108" s="4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4</v>
      </c>
      <c r="N108" s="3">
        <v>0</v>
      </c>
      <c r="O108" s="3"/>
      <c r="P108" s="3">
        <v>51.1</v>
      </c>
      <c r="Q108" t="b">
        <f>COUNTIF($A$2:A108,A108)&gt;1</f>
        <v>0</v>
      </c>
    </row>
    <row r="109" spans="1:17">
      <c r="A109" s="3" t="s">
        <v>139</v>
      </c>
      <c r="B109" s="4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 s="3">
        <v>92.1</v>
      </c>
      <c r="Q109" t="b">
        <f>COUNTIF($A$2:A109,A109)&gt;1</f>
        <v>0</v>
      </c>
    </row>
    <row r="110" spans="1:17">
      <c r="A110" s="3" t="s">
        <v>140</v>
      </c>
      <c r="B110" s="4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 s="3">
        <v>82.1</v>
      </c>
      <c r="Q110" t="b">
        <f>COUNTIF($A$2:A110,A110)&gt;1</f>
        <v>0</v>
      </c>
    </row>
    <row r="111" spans="1:17">
      <c r="A111" s="3" t="s">
        <v>141</v>
      </c>
      <c r="B111" s="4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/>
      <c r="P111" s="3">
        <v>74</v>
      </c>
      <c r="Q111" t="b">
        <f>COUNTIF($A$2:A111,A111)&gt;1</f>
        <v>0</v>
      </c>
    </row>
    <row r="112" spans="1:17">
      <c r="A112" s="3" t="s">
        <v>142</v>
      </c>
      <c r="B112" s="4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 s="3">
        <v>63.4</v>
      </c>
      <c r="Q112" t="b">
        <f>COUNTIF($A$2:A112,A112)&gt;1</f>
        <v>0</v>
      </c>
    </row>
    <row r="113" spans="1:17">
      <c r="A113" s="3" t="s">
        <v>143</v>
      </c>
      <c r="B113" s="4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 s="3">
        <v>53.2</v>
      </c>
      <c r="Q113" t="b">
        <f>COUNTIF($A$2:A113,A113)&gt;1</f>
        <v>0</v>
      </c>
    </row>
    <row r="114" spans="1:17">
      <c r="A114" s="3" t="s">
        <v>144</v>
      </c>
      <c r="B114" s="4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 s="3">
        <v>48.1</v>
      </c>
      <c r="Q114" t="b">
        <f>COUNTIF($A$2:A114,A114)&gt;1</f>
        <v>0</v>
      </c>
    </row>
    <row r="115" spans="1:17">
      <c r="A115" s="3" t="s">
        <v>145</v>
      </c>
      <c r="B115" s="4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/>
      <c r="P115" s="3">
        <v>61.5</v>
      </c>
      <c r="Q115" t="b">
        <f>COUNTIF($A$2:A115,A115)&gt;1</f>
        <v>0</v>
      </c>
    </row>
    <row r="116" spans="1:17">
      <c r="A116" s="3" t="s">
        <v>146</v>
      </c>
      <c r="B116" s="4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 s="3">
        <v>63.2</v>
      </c>
      <c r="Q116" t="b">
        <f>COUNTIF($A$2:A116,A116)&gt;1</f>
        <v>0</v>
      </c>
    </row>
    <row r="117" spans="1:17">
      <c r="A117" s="3" t="s">
        <v>147</v>
      </c>
      <c r="B117" s="4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 s="3">
        <v>71.900000000000006</v>
      </c>
      <c r="Q117" t="b">
        <f>COUNTIF($A$2:A117,A117)&gt;1</f>
        <v>0</v>
      </c>
    </row>
    <row r="118" spans="1:17">
      <c r="A118" s="3" t="s">
        <v>148</v>
      </c>
      <c r="B118" s="4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 s="3">
        <v>62.7</v>
      </c>
      <c r="Q118" t="b">
        <f>COUNTIF($A$2:A118,A118)&gt;1</f>
        <v>0</v>
      </c>
    </row>
    <row r="119" spans="1:17">
      <c r="A119" s="3" t="s">
        <v>149</v>
      </c>
      <c r="B119" s="4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 s="3">
        <v>51.5</v>
      </c>
      <c r="Q119" t="b">
        <f>COUNTIF($A$2:A119,A119)&gt;1</f>
        <v>0</v>
      </c>
    </row>
    <row r="120" spans="1:17">
      <c r="A120" s="3" t="s">
        <v>150</v>
      </c>
      <c r="B120" s="4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39.1</v>
      </c>
      <c r="Q120" t="b">
        <f>COUNTIF($A$2:A120,A120)&gt;1</f>
        <v>0</v>
      </c>
    </row>
    <row r="121" spans="1:17">
      <c r="A121" s="3" t="s">
        <v>151</v>
      </c>
      <c r="B121" s="4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 s="3">
        <v>43.8</v>
      </c>
      <c r="Q121" t="b">
        <f>COUNTIF($A$2:A121,A121)&gt;1</f>
        <v>0</v>
      </c>
    </row>
    <row r="122" spans="1:17">
      <c r="A122" s="3" t="s">
        <v>152</v>
      </c>
      <c r="B122" s="4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/>
      <c r="P122" s="3">
        <v>59.9</v>
      </c>
      <c r="Q122" t="b">
        <f>COUNTIF($A$2:A122,A122)&gt;1</f>
        <v>0</v>
      </c>
    </row>
    <row r="123" spans="1:17">
      <c r="A123" s="3" t="s">
        <v>153</v>
      </c>
      <c r="B123" s="4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/>
      <c r="P123" s="3">
        <v>71.400000000000006</v>
      </c>
      <c r="Q123" t="b">
        <f>COUNTIF($A$2:A123,A123)&gt;1</f>
        <v>0</v>
      </c>
    </row>
    <row r="124" spans="1:17">
      <c r="A124" s="3" t="s">
        <v>154</v>
      </c>
      <c r="B124" s="4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/>
      <c r="P124" s="3">
        <v>36.1</v>
      </c>
      <c r="Q124" t="b">
        <f>COUNTIF($A$2:A124,A124)&gt;1</f>
        <v>0</v>
      </c>
    </row>
    <row r="125" spans="1:17">
      <c r="A125" s="3" t="s">
        <v>155</v>
      </c>
      <c r="B125" s="4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 s="3">
        <v>47.9</v>
      </c>
      <c r="Q125" t="b">
        <f>COUNTIF($A$2:A125,A125)&gt;1</f>
        <v>0</v>
      </c>
    </row>
    <row r="126" spans="1:17">
      <c r="A126" s="3" t="s">
        <v>156</v>
      </c>
      <c r="B126" s="4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 s="3">
        <v>62.5</v>
      </c>
      <c r="Q126" t="b">
        <f>COUNTIF($A$2:A126,A126)&gt;1</f>
        <v>0</v>
      </c>
    </row>
    <row r="127" spans="1:17">
      <c r="A127" s="3" t="s">
        <v>157</v>
      </c>
      <c r="B127" s="4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/>
      <c r="P127" s="3">
        <v>56.9</v>
      </c>
      <c r="Q127" t="b">
        <f>COUNTIF($A$2:A127,A127)&gt;1</f>
        <v>0</v>
      </c>
    </row>
    <row r="128" spans="1:17">
      <c r="A128" s="3" t="s">
        <v>158</v>
      </c>
      <c r="B128" s="4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>
        <v>64.7</v>
      </c>
      <c r="Q128" t="b">
        <f>COUNTIF($A$2:A128,A128)&gt;1</f>
        <v>0</v>
      </c>
    </row>
    <row r="129" spans="1:17">
      <c r="A129" s="3" t="s">
        <v>159</v>
      </c>
      <c r="B129" s="4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/>
      <c r="P129" s="3">
        <v>64</v>
      </c>
      <c r="Q129" t="b">
        <f>COUNTIF($A$2:A129,A129)&gt;1</f>
        <v>0</v>
      </c>
    </row>
    <row r="130" spans="1:17">
      <c r="A130" s="3" t="s">
        <v>160</v>
      </c>
      <c r="B130" s="4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/>
      <c r="P130" s="3">
        <v>75.2</v>
      </c>
      <c r="Q130" t="b">
        <f>COUNTIF($A$2:A130,A130)&gt;1</f>
        <v>0</v>
      </c>
    </row>
    <row r="131" spans="1:17">
      <c r="A131" s="3" t="s">
        <v>161</v>
      </c>
      <c r="B131" s="4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/>
      <c r="P131" s="3">
        <v>79</v>
      </c>
      <c r="Q131" t="b">
        <f>COUNTIF($A$2:A131,A131)&gt;1</f>
        <v>0</v>
      </c>
    </row>
    <row r="132" spans="1:17">
      <c r="A132" s="3" t="s">
        <v>162</v>
      </c>
      <c r="B132" s="4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 s="3">
        <v>33</v>
      </c>
      <c r="Q132" t="b">
        <f>COUNTIF($A$2:A132,A132)&gt;1</f>
        <v>0</v>
      </c>
    </row>
    <row r="133" spans="1:17">
      <c r="A133" s="3" t="s">
        <v>163</v>
      </c>
      <c r="B133" s="4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 s="3">
        <v>67.900000000000006</v>
      </c>
      <c r="Q133" t="b">
        <f>COUNTIF($A$2:A133,A133)&gt;1</f>
        <v>0</v>
      </c>
    </row>
    <row r="134" spans="1:17">
      <c r="A134" s="3" t="s">
        <v>164</v>
      </c>
      <c r="B134" s="4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 s="3">
        <v>42.2</v>
      </c>
      <c r="Q134" t="b">
        <f>COUNTIF($A$2:A134,A134)&gt;1</f>
        <v>0</v>
      </c>
    </row>
    <row r="135" spans="1:17">
      <c r="A135" s="3" t="s">
        <v>165</v>
      </c>
      <c r="B135" s="4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/>
      <c r="P135" s="3">
        <v>43.4</v>
      </c>
      <c r="Q135" t="b">
        <f>COUNTIF($A$2:A135,A135)&gt;1</f>
        <v>0</v>
      </c>
    </row>
    <row r="136" spans="1:17">
      <c r="A136" s="3" t="s">
        <v>166</v>
      </c>
      <c r="B136" s="4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/>
      <c r="P136" s="3">
        <v>54.4</v>
      </c>
      <c r="Q136" t="b">
        <f>COUNTIF($A$2:A136,A136)&gt;1</f>
        <v>0</v>
      </c>
    </row>
    <row r="137" spans="1:17">
      <c r="A137" s="3" t="s">
        <v>167</v>
      </c>
      <c r="B137" s="4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 s="3">
        <v>45.7</v>
      </c>
      <c r="Q137" t="b">
        <f>COUNTIF($A$2:A137,A137)&gt;1</f>
        <v>0</v>
      </c>
    </row>
    <row r="138" spans="1:17">
      <c r="A138" s="3" t="s">
        <v>168</v>
      </c>
      <c r="B138" s="4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3">
        <v>0</v>
      </c>
      <c r="O138" s="3"/>
      <c r="P138" s="3">
        <v>32</v>
      </c>
      <c r="Q138" t="b">
        <f>COUNTIF($A$2:A138,A138)&gt;1</f>
        <v>0</v>
      </c>
    </row>
    <row r="139" spans="1:17">
      <c r="A139" s="3" t="s">
        <v>169</v>
      </c>
      <c r="B139" s="4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 s="3">
        <v>70.900000000000006</v>
      </c>
      <c r="Q139" t="b">
        <f>COUNTIF($A$2:A139,A139)&gt;1</f>
        <v>0</v>
      </c>
    </row>
    <row r="140" spans="1:17">
      <c r="A140" s="3" t="s">
        <v>170</v>
      </c>
      <c r="B140" s="4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/>
      <c r="P140" s="3">
        <v>59.1</v>
      </c>
      <c r="Q140" t="b">
        <f>COUNTIF($A$2:A140,A140)&gt;1</f>
        <v>0</v>
      </c>
    </row>
    <row r="141" spans="1:17">
      <c r="A141" s="3" t="s">
        <v>171</v>
      </c>
      <c r="B141" s="4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 s="3">
        <v>62.4</v>
      </c>
      <c r="Q141" t="b">
        <f>COUNTIF($A$2:A141,A141)&gt;1</f>
        <v>0</v>
      </c>
    </row>
    <row r="142" spans="1:17">
      <c r="A142" s="3" t="s">
        <v>172</v>
      </c>
      <c r="B142" s="4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>
        <v>49.6</v>
      </c>
      <c r="Q142" t="b">
        <f>COUNTIF($A$2:A142,A142)&gt;1</f>
        <v>0</v>
      </c>
    </row>
    <row r="143" spans="1:17">
      <c r="A143" s="3" t="s">
        <v>173</v>
      </c>
      <c r="B143" s="4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</v>
      </c>
      <c r="I143" s="3">
        <v>1</v>
      </c>
      <c r="J143" s="3">
        <v>1</v>
      </c>
      <c r="K143" s="3">
        <v>1</v>
      </c>
      <c r="L143" s="3">
        <v>404.4</v>
      </c>
      <c r="M143" s="3">
        <v>0</v>
      </c>
      <c r="N143" s="3">
        <v>0</v>
      </c>
      <c r="O143" s="3">
        <v>9</v>
      </c>
      <c r="P143" s="3">
        <v>80.599999999999994</v>
      </c>
      <c r="Q143" t="b">
        <f>COUNTIF($A$2:A143,A143)&gt;1</f>
        <v>0</v>
      </c>
    </row>
    <row r="144" spans="1:17">
      <c r="A144" s="3" t="s">
        <v>174</v>
      </c>
      <c r="B144" s="4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 s="3">
        <v>47.9</v>
      </c>
      <c r="Q144" t="b">
        <f>COUNTIF($A$2:A144,A144)&gt;1</f>
        <v>0</v>
      </c>
    </row>
    <row r="145" spans="1:17">
      <c r="A145" s="3" t="s">
        <v>175</v>
      </c>
      <c r="B145" s="4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/>
      <c r="P145" s="3">
        <v>54.8</v>
      </c>
      <c r="Q145" t="b">
        <f>COUNTIF($A$2:A145,A145)&gt;1</f>
        <v>0</v>
      </c>
    </row>
    <row r="146" spans="1:17">
      <c r="A146" s="3" t="s">
        <v>176</v>
      </c>
      <c r="B146" s="4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/>
      <c r="P146" s="3">
        <v>53.9</v>
      </c>
      <c r="Q146" t="b">
        <f>COUNTIF($A$2:A146,A146)&gt;1</f>
        <v>0</v>
      </c>
    </row>
    <row r="147" spans="1:17">
      <c r="A147" s="3" t="s">
        <v>177</v>
      </c>
      <c r="B147" s="4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/>
      <c r="P147" s="3">
        <v>41.3</v>
      </c>
      <c r="Q147" t="b">
        <f>COUNTIF($A$2:A147,A147)&gt;1</f>
        <v>0</v>
      </c>
    </row>
    <row r="148" spans="1:17">
      <c r="A148" s="3" t="s">
        <v>178</v>
      </c>
      <c r="B148" s="4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 s="3">
        <v>38.9</v>
      </c>
      <c r="Q148" t="b">
        <f>COUNTIF($A$2:A148,A148)&gt;1</f>
        <v>0</v>
      </c>
    </row>
    <row r="149" spans="1:17">
      <c r="A149" s="3" t="s">
        <v>179</v>
      </c>
      <c r="B149" s="4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 s="3">
        <v>63.6</v>
      </c>
      <c r="Q149" t="b">
        <f>COUNTIF($A$2:A149,A149)&gt;1</f>
        <v>0</v>
      </c>
    </row>
    <row r="150" spans="1:17">
      <c r="A150" s="3" t="s">
        <v>180</v>
      </c>
      <c r="B150" s="4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</v>
      </c>
      <c r="I150" s="3">
        <v>1</v>
      </c>
      <c r="J150" s="3">
        <v>1</v>
      </c>
      <c r="K150" s="3">
        <v>1</v>
      </c>
      <c r="L150" s="3">
        <v>577.94000000000005</v>
      </c>
      <c r="M150" s="3">
        <v>0</v>
      </c>
      <c r="N150" s="3">
        <v>0</v>
      </c>
      <c r="O150" s="3">
        <v>9</v>
      </c>
      <c r="P150" s="3">
        <v>76.599999999999994</v>
      </c>
      <c r="Q150" t="b">
        <f>COUNTIF($A$2:A150,A150)&gt;1</f>
        <v>0</v>
      </c>
    </row>
    <row r="151" spans="1:17">
      <c r="A151" s="3" t="s">
        <v>181</v>
      </c>
      <c r="B151" s="4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/>
      <c r="P151" s="3">
        <v>67.599999999999994</v>
      </c>
      <c r="Q151" t="b">
        <f>COUNTIF($A$2:A151,A151)&gt;1</f>
        <v>0</v>
      </c>
    </row>
    <row r="152" spans="1:17">
      <c r="A152" s="3" t="s">
        <v>182</v>
      </c>
      <c r="B152" s="4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 s="3">
        <v>43.1</v>
      </c>
      <c r="Q152" t="b">
        <f>COUNTIF($A$2:A152,A152)&gt;1</f>
        <v>0</v>
      </c>
    </row>
    <row r="153" spans="1:17">
      <c r="A153" s="3" t="s">
        <v>183</v>
      </c>
      <c r="B153" s="4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 s="3">
        <v>58.3</v>
      </c>
      <c r="Q153" t="b">
        <f>COUNTIF($A$2:A153,A153)&gt;1</f>
        <v>0</v>
      </c>
    </row>
    <row r="154" spans="1:17">
      <c r="A154" s="3" t="s">
        <v>184</v>
      </c>
      <c r="B154" s="4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/>
      <c r="P154" s="3">
        <v>69.8</v>
      </c>
      <c r="Q154" t="b">
        <f>COUNTIF($A$2:A154,A154)&gt;1</f>
        <v>0</v>
      </c>
    </row>
    <row r="155" spans="1:17">
      <c r="A155" s="3" t="s">
        <v>185</v>
      </c>
      <c r="B155" s="4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 s="3"/>
      <c r="Q155" t="b">
        <f>COUNTIF($A$2:A155,A155)&gt;1</f>
        <v>0</v>
      </c>
    </row>
    <row r="156" spans="1:17">
      <c r="A156" s="3" t="s">
        <v>186</v>
      </c>
      <c r="B156" s="4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/>
      <c r="P156" s="3">
        <v>41.9</v>
      </c>
      <c r="Q156" t="b">
        <f>COUNTIF($A$2:A156,A156)&gt;1</f>
        <v>0</v>
      </c>
    </row>
    <row r="157" spans="1:17">
      <c r="A157" s="3" t="s">
        <v>187</v>
      </c>
      <c r="B157" s="4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 s="3">
        <v>33.1</v>
      </c>
      <c r="Q157" t="b">
        <f>COUNTIF($A$2:A157,A157)&gt;1</f>
        <v>0</v>
      </c>
    </row>
    <row r="158" spans="1:17">
      <c r="A158" s="3" t="s">
        <v>188</v>
      </c>
      <c r="B158" s="4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 s="3">
        <v>58.6</v>
      </c>
      <c r="Q158" t="b">
        <f>COUNTIF($A$2:A158,A158)&gt;1</f>
        <v>0</v>
      </c>
    </row>
    <row r="159" spans="1:17">
      <c r="A159" s="3" t="s">
        <v>189</v>
      </c>
      <c r="B159" s="4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 s="3">
        <v>55.7</v>
      </c>
      <c r="Q159" t="b">
        <f>COUNTIF($A$2:A159,A159)&gt;1</f>
        <v>0</v>
      </c>
    </row>
    <row r="160" spans="1:17">
      <c r="A160" s="3" t="s">
        <v>190</v>
      </c>
      <c r="B160" s="4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2</v>
      </c>
      <c r="N160" s="3">
        <v>0</v>
      </c>
      <c r="O160" s="3"/>
      <c r="P160" s="3">
        <v>64.900000000000006</v>
      </c>
      <c r="Q160" t="b">
        <f>COUNTIF($A$2:A160,A160)&gt;1</f>
        <v>0</v>
      </c>
    </row>
    <row r="161" spans="1:17">
      <c r="A161" s="3" t="s">
        <v>191</v>
      </c>
      <c r="B161" s="4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/>
      <c r="P161" s="3">
        <v>72.3</v>
      </c>
      <c r="Q161" t="b">
        <f>COUNTIF($A$2:A161,A161)&gt;1</f>
        <v>0</v>
      </c>
    </row>
    <row r="162" spans="1:17">
      <c r="A162" s="3" t="s">
        <v>192</v>
      </c>
      <c r="B162" s="4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 s="3">
        <v>42.1</v>
      </c>
      <c r="Q162" t="b">
        <f>COUNTIF($A$2:A162,A162)&gt;1</f>
        <v>0</v>
      </c>
    </row>
    <row r="163" spans="1:17">
      <c r="A163" s="3" t="s">
        <v>193</v>
      </c>
      <c r="B163" s="4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 s="3"/>
      <c r="Q163" t="b">
        <f>COUNTIF($A$2:A163,A163)&gt;1</f>
        <v>0</v>
      </c>
    </row>
    <row r="164" spans="1:17">
      <c r="A164" s="3" t="s">
        <v>194</v>
      </c>
      <c r="B164" s="4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/>
      <c r="P164" s="3">
        <v>64.8</v>
      </c>
      <c r="Q164" t="b">
        <f>COUNTIF($A$2:A164,A164)&gt;1</f>
        <v>0</v>
      </c>
    </row>
    <row r="165" spans="1:17">
      <c r="A165" s="3" t="s">
        <v>195</v>
      </c>
      <c r="B165" s="4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/>
      <c r="P165" s="3">
        <v>72.099999999999994</v>
      </c>
      <c r="Q165" t="b">
        <f>COUNTIF($A$2:A165,A165)&gt;1</f>
        <v>0</v>
      </c>
    </row>
    <row r="166" spans="1:17">
      <c r="A166" s="3" t="s">
        <v>196</v>
      </c>
      <c r="B166" s="4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>
        <v>50.6</v>
      </c>
      <c r="Q166" t="b">
        <f>COUNTIF($A$2:A166,A166)&gt;1</f>
        <v>0</v>
      </c>
    </row>
    <row r="167" spans="1:17">
      <c r="A167" s="3" t="s">
        <v>197</v>
      </c>
      <c r="B167" s="4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</v>
      </c>
      <c r="I167" s="3">
        <v>1</v>
      </c>
      <c r="J167" s="3">
        <v>1</v>
      </c>
      <c r="K167" s="3">
        <v>1</v>
      </c>
      <c r="L167" s="3">
        <v>1281.25</v>
      </c>
      <c r="M167" s="3">
        <v>1</v>
      </c>
      <c r="N167" s="3">
        <v>0</v>
      </c>
      <c r="O167" s="3">
        <v>9</v>
      </c>
      <c r="P167" s="3">
        <v>43.4</v>
      </c>
      <c r="Q167" t="b">
        <f>COUNTIF($A$2:A167,A167)&gt;1</f>
        <v>0</v>
      </c>
    </row>
    <row r="168" spans="1:17">
      <c r="A168" s="3" t="s">
        <v>198</v>
      </c>
      <c r="B168" s="4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 s="3">
        <v>59.7</v>
      </c>
      <c r="Q168" t="b">
        <f>COUNTIF($A$2:A168,A168)&gt;1</f>
        <v>0</v>
      </c>
    </row>
    <row r="169" spans="1:17">
      <c r="A169" s="3" t="s">
        <v>199</v>
      </c>
      <c r="B169" s="4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0</v>
      </c>
      <c r="O169" s="3"/>
      <c r="P169" s="3"/>
      <c r="Q169" t="b">
        <f>COUNTIF($A$2:A169,A169)&gt;1</f>
        <v>0</v>
      </c>
    </row>
    <row r="170" spans="1:17">
      <c r="A170" s="3" t="s">
        <v>200</v>
      </c>
      <c r="B170" s="4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 s="3">
        <v>54.5</v>
      </c>
      <c r="Q170" t="b">
        <f>COUNTIF($A$2:A170,A170)&gt;1</f>
        <v>0</v>
      </c>
    </row>
    <row r="171" spans="1:17">
      <c r="A171" s="3" t="s">
        <v>201</v>
      </c>
      <c r="B171" s="4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 s="3">
        <v>71.099999999999994</v>
      </c>
      <c r="Q171" t="b">
        <f>COUNTIF($A$2:A171,A171)&gt;1</f>
        <v>0</v>
      </c>
    </row>
    <row r="172" spans="1:17">
      <c r="A172" s="3" t="s">
        <v>202</v>
      </c>
      <c r="B172" s="4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>
        <v>1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/>
      <c r="P172" s="3">
        <v>44.4</v>
      </c>
      <c r="Q172" t="b">
        <f>COUNTIF($A$2:A172,A172)&gt;1</f>
        <v>0</v>
      </c>
    </row>
    <row r="173" spans="1:17">
      <c r="A173" s="3" t="s">
        <v>203</v>
      </c>
      <c r="B173" s="4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 s="3">
        <v>61.7</v>
      </c>
      <c r="Q173" t="b">
        <f>COUNTIF($A$2:A173,A173)&gt;1</f>
        <v>0</v>
      </c>
    </row>
    <row r="174" spans="1:17">
      <c r="A174" s="3" t="s">
        <v>204</v>
      </c>
      <c r="B174" s="4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/>
      <c r="P174" s="3">
        <v>81.3</v>
      </c>
      <c r="Q174" t="b">
        <f>COUNTIF($A$2:A174,A174)&gt;1</f>
        <v>0</v>
      </c>
    </row>
    <row r="175" spans="1:17">
      <c r="A175" s="3" t="s">
        <v>205</v>
      </c>
      <c r="B175" s="4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3">
        <v>0</v>
      </c>
      <c r="O175" s="3"/>
      <c r="P175" s="3">
        <v>28.7</v>
      </c>
      <c r="Q175" t="b">
        <f>COUNTIF($A$2:A175,A175)&gt;1</f>
        <v>0</v>
      </c>
    </row>
    <row r="176" spans="1:17">
      <c r="A176" s="3" t="s">
        <v>206</v>
      </c>
      <c r="B176" s="4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 s="3">
        <v>53</v>
      </c>
      <c r="Q176" t="b">
        <f>COUNTIF($A$2:A176,A176)&gt;1</f>
        <v>0</v>
      </c>
    </row>
    <row r="177" spans="1:17">
      <c r="A177" s="3" t="s">
        <v>207</v>
      </c>
      <c r="B177" s="4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 s="3">
        <v>54.9</v>
      </c>
      <c r="Q177" t="b">
        <f>COUNTIF($A$2:A177,A177)&gt;1</f>
        <v>0</v>
      </c>
    </row>
    <row r="178" spans="1:17">
      <c r="A178" s="3" t="s">
        <v>208</v>
      </c>
      <c r="B178" s="4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/>
      <c r="P178" s="3">
        <v>58.2</v>
      </c>
      <c r="Q178" t="b">
        <f>COUNTIF($A$2:A178,A178)&gt;1</f>
        <v>0</v>
      </c>
    </row>
    <row r="179" spans="1:17">
      <c r="A179" s="3" t="s">
        <v>209</v>
      </c>
      <c r="B179" s="4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 s="3">
        <v>80.599999999999994</v>
      </c>
      <c r="Q179" t="b">
        <f>COUNTIF($A$2:A179,A179)&gt;1</f>
        <v>0</v>
      </c>
    </row>
    <row r="180" spans="1:17">
      <c r="A180" s="3" t="s">
        <v>210</v>
      </c>
      <c r="B180" s="4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/>
      <c r="P180" s="3">
        <v>38.4</v>
      </c>
      <c r="Q180" t="b">
        <f>COUNTIF($A$2:A180,A180)&gt;1</f>
        <v>0</v>
      </c>
    </row>
    <row r="181" spans="1:17">
      <c r="A181" s="3" t="s">
        <v>211</v>
      </c>
      <c r="B181" s="4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 s="3">
        <v>56.1</v>
      </c>
      <c r="Q181" t="b">
        <f>COUNTIF($A$2:A181,A181)&gt;1</f>
        <v>0</v>
      </c>
    </row>
    <row r="182" spans="1:17">
      <c r="A182" s="3" t="s">
        <v>212</v>
      </c>
      <c r="B182" s="4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/>
      <c r="P182" s="3">
        <v>62.6</v>
      </c>
      <c r="Q182" t="b">
        <f>COUNTIF($A$2:A182,A182)&gt;1</f>
        <v>0</v>
      </c>
    </row>
    <row r="183" spans="1:17">
      <c r="A183" s="3" t="s">
        <v>213</v>
      </c>
      <c r="B183" s="4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 s="3">
        <v>36.299999999999997</v>
      </c>
      <c r="Q183" t="b">
        <f>COUNTIF($A$2:A183,A183)&gt;1</f>
        <v>0</v>
      </c>
    </row>
    <row r="184" spans="1:17">
      <c r="A184" s="3" t="s">
        <v>214</v>
      </c>
      <c r="B184" s="4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 s="3">
        <v>52.1</v>
      </c>
      <c r="Q184" t="b">
        <f>COUNTIF($A$2:A184,A184)&gt;1</f>
        <v>0</v>
      </c>
    </row>
    <row r="185" spans="1:17">
      <c r="A185" s="3" t="s">
        <v>215</v>
      </c>
      <c r="B185" s="4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/>
      <c r="P185" s="3">
        <v>45.1</v>
      </c>
      <c r="Q185" t="b">
        <f>COUNTIF($A$2:A185,A185)&gt;1</f>
        <v>0</v>
      </c>
    </row>
    <row r="186" spans="1:17">
      <c r="A186" s="3" t="s">
        <v>216</v>
      </c>
      <c r="B186" s="4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 s="3">
        <v>67.5</v>
      </c>
      <c r="Q186" t="b">
        <f>COUNTIF($A$2:A186,A186)&gt;1</f>
        <v>0</v>
      </c>
    </row>
    <row r="187" spans="1:17">
      <c r="A187" s="3" t="s">
        <v>217</v>
      </c>
      <c r="B187" s="4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/>
      <c r="P187" s="3">
        <v>80</v>
      </c>
      <c r="Q187" t="b">
        <f>COUNTIF($A$2:A187,A187)&gt;1</f>
        <v>0</v>
      </c>
    </row>
    <row r="188" spans="1:17">
      <c r="A188" s="3" t="s">
        <v>218</v>
      </c>
      <c r="B188" s="4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/>
      <c r="P188" s="3">
        <v>56.4</v>
      </c>
      <c r="Q188" t="b">
        <f>COUNTIF($A$2:A188,A188)&gt;1</f>
        <v>0</v>
      </c>
    </row>
    <row r="189" spans="1:17">
      <c r="A189" s="3" t="s">
        <v>219</v>
      </c>
      <c r="B189" s="4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 s="3">
        <v>55.4</v>
      </c>
      <c r="Q189" t="b">
        <f>COUNTIF($A$2:A189,A189)&gt;1</f>
        <v>0</v>
      </c>
    </row>
    <row r="190" spans="1:17">
      <c r="A190" s="3" t="s">
        <v>220</v>
      </c>
      <c r="B190" s="4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 s="3">
        <v>67.900000000000006</v>
      </c>
      <c r="Q190" t="b">
        <f>COUNTIF($A$2:A190,A190)&gt;1</f>
        <v>0</v>
      </c>
    </row>
    <row r="191" spans="1:17">
      <c r="A191" s="3" t="s">
        <v>221</v>
      </c>
      <c r="B191" s="4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 s="3">
        <v>62.5</v>
      </c>
      <c r="Q191" t="b">
        <f>COUNTIF($A$2:A191,A191)&gt;1</f>
        <v>0</v>
      </c>
    </row>
    <row r="192" spans="1:17">
      <c r="A192" s="3" t="s">
        <v>222</v>
      </c>
      <c r="B192" s="4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/>
      <c r="P192" s="3">
        <v>54.3</v>
      </c>
      <c r="Q192" t="b">
        <f>COUNTIF($A$2:A192,A192)&gt;1</f>
        <v>0</v>
      </c>
    </row>
    <row r="193" spans="1:17">
      <c r="A193" s="3" t="s">
        <v>223</v>
      </c>
      <c r="B193" s="4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/>
      <c r="P193" s="3">
        <v>37.5</v>
      </c>
      <c r="Q193" t="b">
        <f>COUNTIF($A$2:A193,A193)&gt;1</f>
        <v>0</v>
      </c>
    </row>
    <row r="194" spans="1:17">
      <c r="A194" s="3" t="s">
        <v>224</v>
      </c>
      <c r="B194" s="4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 s="3">
        <v>52.6</v>
      </c>
      <c r="Q194" t="b">
        <f>COUNTIF($A$2:A194,A194)&gt;1</f>
        <v>0</v>
      </c>
    </row>
    <row r="195" spans="1:17">
      <c r="A195" s="3" t="s">
        <v>225</v>
      </c>
      <c r="B195" s="4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 s="3">
        <v>46.1</v>
      </c>
      <c r="Q195" t="b">
        <f>COUNTIF($A$2:A195,A195)&gt;1</f>
        <v>0</v>
      </c>
    </row>
    <row r="196" spans="1:17">
      <c r="A196" s="3" t="s">
        <v>226</v>
      </c>
      <c r="B196" s="4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 s="3">
        <v>54.7</v>
      </c>
      <c r="Q196" t="b">
        <f>COUNTIF($A$2:A196,A196)&gt;1</f>
        <v>0</v>
      </c>
    </row>
    <row r="197" spans="1:17">
      <c r="A197" s="3" t="s">
        <v>227</v>
      </c>
      <c r="B197" s="4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 s="3">
        <v>74.2</v>
      </c>
      <c r="Q197" t="b">
        <f>COUNTIF($A$2:A197,A197)&gt;1</f>
        <v>0</v>
      </c>
    </row>
    <row r="198" spans="1:17">
      <c r="A198" s="3" t="s">
        <v>228</v>
      </c>
      <c r="B198" s="4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</v>
      </c>
      <c r="I198" s="3">
        <v>1</v>
      </c>
      <c r="J198" s="3">
        <v>1</v>
      </c>
      <c r="K198" s="3">
        <v>1</v>
      </c>
      <c r="L198" s="3">
        <v>1052.8</v>
      </c>
      <c r="M198" s="3">
        <v>2</v>
      </c>
      <c r="N198" s="3">
        <v>0</v>
      </c>
      <c r="O198" s="3">
        <v>6</v>
      </c>
      <c r="P198" s="3">
        <v>64.7</v>
      </c>
      <c r="Q198" t="b">
        <f>COUNTIF($A$2:A198,A198)&gt;1</f>
        <v>0</v>
      </c>
    </row>
    <row r="199" spans="1:17">
      <c r="A199" s="3" t="s">
        <v>229</v>
      </c>
      <c r="B199" s="4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 s="3">
        <v>65.900000000000006</v>
      </c>
      <c r="Q199" t="b">
        <f>COUNTIF($A$2:A199,A199)&gt;1</f>
        <v>0</v>
      </c>
    </row>
    <row r="200" spans="1:17">
      <c r="A200" s="3" t="s">
        <v>230</v>
      </c>
      <c r="B200" s="4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/>
      <c r="P200" s="3">
        <v>64</v>
      </c>
      <c r="Q200" t="b">
        <f>COUNTIF($A$2:A200,A200)&gt;1</f>
        <v>0</v>
      </c>
    </row>
    <row r="201" spans="1:17">
      <c r="A201" s="3" t="s">
        <v>231</v>
      </c>
      <c r="B201" s="4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 s="3">
        <v>57.2</v>
      </c>
      <c r="Q201" t="b">
        <f>COUNTIF($A$2:A201,A201)&gt;1</f>
        <v>0</v>
      </c>
    </row>
    <row r="202" spans="1:17">
      <c r="A202" s="3" t="s">
        <v>232</v>
      </c>
      <c r="B202" s="4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 s="3">
        <v>80.5</v>
      </c>
      <c r="Q202" t="b">
        <f>COUNTIF($A$2:A202,A202)&gt;1</f>
        <v>0</v>
      </c>
    </row>
    <row r="203" spans="1:17">
      <c r="A203" s="3" t="s">
        <v>233</v>
      </c>
      <c r="B203" s="4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 s="3">
        <v>53.9</v>
      </c>
      <c r="Q203" t="b">
        <f>COUNTIF($A$2:A203,A203)&gt;1</f>
        <v>0</v>
      </c>
    </row>
    <row r="204" spans="1:17">
      <c r="A204" s="3" t="s">
        <v>234</v>
      </c>
      <c r="B204" s="4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 s="3">
        <v>77.5</v>
      </c>
      <c r="Q204" t="b">
        <f>COUNTIF($A$2:A204,A204)&gt;1</f>
        <v>0</v>
      </c>
    </row>
    <row r="205" spans="1:17">
      <c r="A205" s="3" t="s">
        <v>235</v>
      </c>
      <c r="B205" s="4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/>
      <c r="P205" s="3">
        <v>84.2</v>
      </c>
      <c r="Q205" t="b">
        <f>COUNTIF($A$2:A205,A205)&gt;1</f>
        <v>0</v>
      </c>
    </row>
    <row r="206" spans="1:17">
      <c r="A206" s="3" t="s">
        <v>236</v>
      </c>
      <c r="B206" s="4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 s="3">
        <v>54.9</v>
      </c>
      <c r="Q206" t="b">
        <f>COUNTIF($A$2:A206,A206)&gt;1</f>
        <v>0</v>
      </c>
    </row>
    <row r="207" spans="1:17">
      <c r="A207" s="3" t="s">
        <v>237</v>
      </c>
      <c r="B207" s="4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 s="3">
        <v>69.3</v>
      </c>
      <c r="Q207" t="b">
        <f>COUNTIF($A$2:A207,A207)&gt;1</f>
        <v>0</v>
      </c>
    </row>
    <row r="208" spans="1:17">
      <c r="A208" s="3" t="s">
        <v>238</v>
      </c>
      <c r="B208" s="4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2</v>
      </c>
      <c r="N208" s="3">
        <v>0</v>
      </c>
      <c r="O208" s="3"/>
      <c r="P208" s="3">
        <v>42.3</v>
      </c>
      <c r="Q208" t="b">
        <f>COUNTIF($A$2:A208,A208)&gt;1</f>
        <v>0</v>
      </c>
    </row>
    <row r="209" spans="1:17">
      <c r="A209" s="3" t="s">
        <v>239</v>
      </c>
      <c r="B209" s="4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/>
      <c r="P209" s="3">
        <v>69.599999999999994</v>
      </c>
      <c r="Q209" t="b">
        <f>COUNTIF($A$2:A209,A209)&gt;1</f>
        <v>0</v>
      </c>
    </row>
    <row r="210" spans="1:17">
      <c r="A210" s="3" t="s">
        <v>240</v>
      </c>
      <c r="B210" s="4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 s="3">
        <v>40.700000000000003</v>
      </c>
      <c r="Q210" t="b">
        <f>COUNTIF($A$2:A210,A210)&gt;1</f>
        <v>0</v>
      </c>
    </row>
    <row r="211" spans="1:17">
      <c r="A211" s="3" t="s">
        <v>241</v>
      </c>
      <c r="B211" s="4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 s="3">
        <v>54</v>
      </c>
      <c r="Q211" t="b">
        <f>COUNTIF($A$2:A211,A211)&gt;1</f>
        <v>0</v>
      </c>
    </row>
    <row r="212" spans="1:17">
      <c r="A212" s="3" t="s">
        <v>242</v>
      </c>
      <c r="B212" s="4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>
        <v>1</v>
      </c>
      <c r="I212" s="3">
        <v>1</v>
      </c>
      <c r="J212" s="3">
        <v>1</v>
      </c>
      <c r="K212" s="3">
        <v>1</v>
      </c>
      <c r="L212" s="3">
        <v>553.37</v>
      </c>
      <c r="M212" s="3">
        <v>0</v>
      </c>
      <c r="N212" s="3">
        <v>0</v>
      </c>
      <c r="O212" s="3">
        <v>5</v>
      </c>
      <c r="P212" s="3">
        <v>46.3</v>
      </c>
      <c r="Q212" t="b">
        <f>COUNTIF($A$2:A212,A212)&gt;1</f>
        <v>0</v>
      </c>
    </row>
    <row r="213" spans="1:17">
      <c r="A213" s="3" t="s">
        <v>243</v>
      </c>
      <c r="B213" s="4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 s="3">
        <v>64.2</v>
      </c>
      <c r="Q213" t="b">
        <f>COUNTIF($A$2:A213,A213)&gt;1</f>
        <v>0</v>
      </c>
    </row>
    <row r="214" spans="1:17">
      <c r="A214" s="3" t="s">
        <v>244</v>
      </c>
      <c r="B214" s="4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 s="3">
        <v>75.2</v>
      </c>
      <c r="Q214" t="b">
        <f>COUNTIF($A$2:A214,A214)&gt;1</f>
        <v>0</v>
      </c>
    </row>
    <row r="215" spans="1:17">
      <c r="A215" s="3" t="s">
        <v>245</v>
      </c>
      <c r="B215" s="4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 s="3">
        <v>60.9</v>
      </c>
      <c r="Q215" t="b">
        <f>COUNTIF($A$2:A215,A215)&gt;1</f>
        <v>0</v>
      </c>
    </row>
    <row r="216" spans="1:17">
      <c r="A216" s="3" t="s">
        <v>246</v>
      </c>
      <c r="B216" s="4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/>
      <c r="P216" s="3">
        <v>62.1</v>
      </c>
      <c r="Q216" t="b">
        <f>COUNTIF($A$2:A216,A216)&gt;1</f>
        <v>0</v>
      </c>
    </row>
    <row r="217" spans="1:17">
      <c r="A217" s="3" t="s">
        <v>247</v>
      </c>
      <c r="B217" s="4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 s="3">
        <v>45.4</v>
      </c>
      <c r="Q217" t="b">
        <f>COUNTIF($A$2:A217,A217)&gt;1</f>
        <v>0</v>
      </c>
    </row>
    <row r="218" spans="1:17">
      <c r="A218" s="3" t="s">
        <v>248</v>
      </c>
      <c r="B218" s="4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 s="3">
        <v>53.3</v>
      </c>
      <c r="Q218" t="b">
        <f>COUNTIF($A$2:A218,A218)&gt;1</f>
        <v>0</v>
      </c>
    </row>
    <row r="219" spans="1:17">
      <c r="A219" s="3" t="s">
        <v>249</v>
      </c>
      <c r="B219" s="4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 s="3"/>
      <c r="Q219" t="b">
        <f>COUNTIF($A$2:A219,A219)&gt;1</f>
        <v>0</v>
      </c>
    </row>
    <row r="220" spans="1:17">
      <c r="A220" s="3" t="s">
        <v>250</v>
      </c>
      <c r="B220" s="4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/>
      <c r="P220" s="3">
        <v>38.200000000000003</v>
      </c>
      <c r="Q220" t="b">
        <f>COUNTIF($A$2:A220,A220)&gt;1</f>
        <v>0</v>
      </c>
    </row>
    <row r="221" spans="1:17">
      <c r="A221" s="3" t="s">
        <v>251</v>
      </c>
      <c r="B221" s="4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3</v>
      </c>
      <c r="N221" s="3">
        <v>0</v>
      </c>
      <c r="O221" s="3"/>
      <c r="P221" s="3">
        <v>59</v>
      </c>
      <c r="Q221" t="b">
        <f>COUNTIF($A$2:A221,A221)&gt;1</f>
        <v>0</v>
      </c>
    </row>
    <row r="222" spans="1:17">
      <c r="A222" s="3" t="s">
        <v>252</v>
      </c>
      <c r="B222" s="4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/>
      <c r="P222" s="3">
        <v>80.599999999999994</v>
      </c>
      <c r="Q222" t="b">
        <f>COUNTIF($A$2:A222,A222)&gt;1</f>
        <v>0</v>
      </c>
    </row>
    <row r="223" spans="1:17">
      <c r="A223" s="3" t="s">
        <v>253</v>
      </c>
      <c r="B223" s="4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 s="3">
        <v>67</v>
      </c>
      <c r="Q223" t="b">
        <f>COUNTIF($A$2:A223,A223)&gt;1</f>
        <v>0</v>
      </c>
    </row>
    <row r="224" spans="1:17">
      <c r="A224" s="3" t="s">
        <v>254</v>
      </c>
      <c r="B224" s="4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/>
      <c r="P224" s="3">
        <v>72.099999999999994</v>
      </c>
      <c r="Q224" t="b">
        <f>COUNTIF($A$2:A224,A224)&gt;1</f>
        <v>0</v>
      </c>
    </row>
    <row r="225" spans="1:17">
      <c r="A225" s="3" t="s">
        <v>255</v>
      </c>
      <c r="B225" s="4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 s="3">
        <v>74.099999999999994</v>
      </c>
      <c r="Q225" t="b">
        <f>COUNTIF($A$2:A225,A225)&gt;1</f>
        <v>0</v>
      </c>
    </row>
    <row r="226" spans="1:17">
      <c r="A226" s="3" t="s">
        <v>256</v>
      </c>
      <c r="B226" s="4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 s="3">
        <v>84.8</v>
      </c>
      <c r="Q226" t="b">
        <f>COUNTIF($A$2:A226,A226)&gt;1</f>
        <v>0</v>
      </c>
    </row>
    <row r="227" spans="1:17">
      <c r="A227" s="3" t="s">
        <v>257</v>
      </c>
      <c r="B227" s="4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/>
      <c r="P227" s="3">
        <v>33</v>
      </c>
      <c r="Q227" t="b">
        <f>COUNTIF($A$2:A227,A227)&gt;1</f>
        <v>0</v>
      </c>
    </row>
    <row r="228" spans="1:17">
      <c r="A228" s="3" t="s">
        <v>258</v>
      </c>
      <c r="B228" s="4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 s="3">
        <v>52.5</v>
      </c>
      <c r="Q228" t="b">
        <f>COUNTIF($A$2:A228,A228)&gt;1</f>
        <v>0</v>
      </c>
    </row>
    <row r="229" spans="1:17">
      <c r="A229" s="3" t="s">
        <v>259</v>
      </c>
      <c r="B229" s="4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 s="3">
        <v>66.900000000000006</v>
      </c>
      <c r="Q229" t="b">
        <f>COUNTIF($A$2:A229,A229)&gt;1</f>
        <v>0</v>
      </c>
    </row>
    <row r="230" spans="1:17">
      <c r="A230" s="3" t="s">
        <v>260</v>
      </c>
      <c r="B230" s="4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0</v>
      </c>
      <c r="O230" s="3"/>
      <c r="P230" s="3">
        <v>32.700000000000003</v>
      </c>
      <c r="Q230" t="b">
        <f>COUNTIF($A$2:A230,A230)&gt;1</f>
        <v>0</v>
      </c>
    </row>
    <row r="231" spans="1:17">
      <c r="A231" s="3" t="s">
        <v>261</v>
      </c>
      <c r="B231" s="4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/>
      <c r="P231" s="3">
        <v>70.599999999999994</v>
      </c>
      <c r="Q231" t="b">
        <f>COUNTIF($A$2:A231,A231)&gt;1</f>
        <v>0</v>
      </c>
    </row>
    <row r="232" spans="1:17">
      <c r="A232" s="3" t="s">
        <v>262</v>
      </c>
      <c r="B232" s="4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/>
      <c r="P232" s="3">
        <v>69.400000000000006</v>
      </c>
      <c r="Q232" t="b">
        <f>COUNTIF($A$2:A232,A232)&gt;1</f>
        <v>0</v>
      </c>
    </row>
    <row r="233" spans="1:17">
      <c r="A233" s="3" t="s">
        <v>263</v>
      </c>
      <c r="B233" s="4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/>
      <c r="P233" s="3">
        <v>56.1</v>
      </c>
      <c r="Q233" t="b">
        <f>COUNTIF($A$2:A233,A233)&gt;1</f>
        <v>0</v>
      </c>
    </row>
    <row r="234" spans="1:17">
      <c r="A234" s="3" t="s">
        <v>264</v>
      </c>
      <c r="B234" s="4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 s="3">
        <v>55.8</v>
      </c>
      <c r="Q234" t="b">
        <f>COUNTIF($A$2:A234,A234)&gt;1</f>
        <v>0</v>
      </c>
    </row>
    <row r="235" spans="1:17">
      <c r="A235" s="3" t="s">
        <v>265</v>
      </c>
      <c r="B235" s="4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/>
      <c r="P235" s="3">
        <v>49.3</v>
      </c>
      <c r="Q235" t="b">
        <f>COUNTIF($A$2:A235,A235)&gt;1</f>
        <v>0</v>
      </c>
    </row>
    <row r="236" spans="1:17">
      <c r="A236" s="3" t="s">
        <v>266</v>
      </c>
      <c r="B236" s="4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 s="3">
        <v>71.8</v>
      </c>
      <c r="Q236" t="b">
        <f>COUNTIF($A$2:A236,A236)&gt;1</f>
        <v>0</v>
      </c>
    </row>
    <row r="237" spans="1:17">
      <c r="A237" s="3" t="s">
        <v>267</v>
      </c>
      <c r="B237" s="4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/>
      <c r="P237" s="3">
        <v>39.700000000000003</v>
      </c>
      <c r="Q237" t="b">
        <f>COUNTIF($A$2:A237,A237)&gt;1</f>
        <v>0</v>
      </c>
    </row>
    <row r="238" spans="1:17">
      <c r="A238" s="3" t="s">
        <v>268</v>
      </c>
      <c r="B238" s="4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 s="3">
        <v>45.4</v>
      </c>
      <c r="Q238" t="b">
        <f>COUNTIF($A$2:A238,A238)&gt;1</f>
        <v>0</v>
      </c>
    </row>
    <row r="239" spans="1:17">
      <c r="A239" s="3" t="s">
        <v>269</v>
      </c>
      <c r="B239" s="4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 s="3">
        <v>69.900000000000006</v>
      </c>
      <c r="Q239" t="b">
        <f>COUNTIF($A$2:A239,A239)&gt;1</f>
        <v>0</v>
      </c>
    </row>
    <row r="240" spans="1:17">
      <c r="A240" s="3" t="s">
        <v>270</v>
      </c>
      <c r="B240" s="4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/>
      <c r="P240" s="3">
        <v>56.1</v>
      </c>
      <c r="Q240" t="b">
        <f>COUNTIF($A$2:A240,A240)&gt;1</f>
        <v>0</v>
      </c>
    </row>
    <row r="241" spans="1:17">
      <c r="A241" s="3" t="s">
        <v>271</v>
      </c>
      <c r="B241" s="4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/>
      <c r="P241" s="3">
        <v>45.9</v>
      </c>
      <c r="Q241" t="b">
        <f>COUNTIF($A$2:A241,A241)&gt;1</f>
        <v>0</v>
      </c>
    </row>
    <row r="242" spans="1:17">
      <c r="A242" s="3" t="s">
        <v>272</v>
      </c>
      <c r="B242" s="4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/>
      <c r="P242" s="3">
        <v>65.8</v>
      </c>
      <c r="Q242" t="b">
        <f>COUNTIF($A$2:A242,A242)&gt;1</f>
        <v>0</v>
      </c>
    </row>
    <row r="243" spans="1:17">
      <c r="A243" s="3" t="s">
        <v>273</v>
      </c>
      <c r="B243" s="4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 s="3">
        <v>48.2</v>
      </c>
      <c r="Q243" t="b">
        <f>COUNTIF($A$2:A243,A243)&gt;1</f>
        <v>0</v>
      </c>
    </row>
    <row r="244" spans="1:17">
      <c r="A244" s="3" t="s">
        <v>274</v>
      </c>
      <c r="B244" s="4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/>
      <c r="P244" s="3">
        <v>81.099999999999994</v>
      </c>
      <c r="Q244" t="b">
        <f>COUNTIF($A$2:A244,A244)&gt;1</f>
        <v>0</v>
      </c>
    </row>
    <row r="245" spans="1:17">
      <c r="A245" s="3" t="s">
        <v>275</v>
      </c>
      <c r="B245" s="4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 s="3">
        <v>53.2</v>
      </c>
      <c r="Q245" t="b">
        <f>COUNTIF($A$2:A245,A245)&gt;1</f>
        <v>0</v>
      </c>
    </row>
    <row r="246" spans="1:17">
      <c r="A246" s="3" t="s">
        <v>276</v>
      </c>
      <c r="B246" s="4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/>
      <c r="P246" s="3">
        <v>57.7</v>
      </c>
      <c r="Q246" t="b">
        <f>COUNTIF($A$2:A246,A246)&gt;1</f>
        <v>0</v>
      </c>
    </row>
    <row r="247" spans="1:17">
      <c r="A247" s="3" t="s">
        <v>277</v>
      </c>
      <c r="B247" s="4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 s="3">
        <v>78.900000000000006</v>
      </c>
      <c r="Q247" t="b">
        <f>COUNTIF($A$2:A247,A247)&gt;1</f>
        <v>0</v>
      </c>
    </row>
    <row r="248" spans="1:17">
      <c r="A248" s="3" t="s">
        <v>278</v>
      </c>
      <c r="B248" s="4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/>
      <c r="P248" s="3">
        <v>55.7</v>
      </c>
      <c r="Q248" t="b">
        <f>COUNTIF($A$2:A248,A248)&gt;1</f>
        <v>0</v>
      </c>
    </row>
    <row r="249" spans="1:17">
      <c r="A249" s="3" t="s">
        <v>279</v>
      </c>
      <c r="B249" s="4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 s="3">
        <v>52.3</v>
      </c>
      <c r="Q249" t="b">
        <f>COUNTIF($A$2:A249,A249)&gt;1</f>
        <v>0</v>
      </c>
    </row>
    <row r="250" spans="1:17">
      <c r="A250" s="3" t="s">
        <v>280</v>
      </c>
      <c r="B250" s="4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 s="3">
        <v>51.5</v>
      </c>
      <c r="Q250" t="b">
        <f>COUNTIF($A$2:A250,A250)&gt;1</f>
        <v>0</v>
      </c>
    </row>
    <row r="251" spans="1:17">
      <c r="A251" s="3" t="s">
        <v>281</v>
      </c>
      <c r="B251" s="4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/>
      <c r="P251" s="3">
        <v>70.8</v>
      </c>
      <c r="Q251" t="b">
        <f>COUNTIF($A$2:A251,A251)&gt;1</f>
        <v>0</v>
      </c>
    </row>
    <row r="252" spans="1:17">
      <c r="A252" s="3" t="s">
        <v>282</v>
      </c>
      <c r="B252" s="4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</v>
      </c>
      <c r="I252" s="3">
        <v>1</v>
      </c>
      <c r="J252" s="3">
        <v>1</v>
      </c>
      <c r="K252" s="3">
        <v>1</v>
      </c>
      <c r="L252" s="3">
        <v>1250.78</v>
      </c>
      <c r="M252" s="3">
        <v>0</v>
      </c>
      <c r="N252" s="3">
        <v>0</v>
      </c>
      <c r="O252" s="3">
        <v>10</v>
      </c>
      <c r="P252" s="3">
        <v>39</v>
      </c>
      <c r="Q252" t="b">
        <f>COUNTIF($A$2:A252,A252)&gt;1</f>
        <v>0</v>
      </c>
    </row>
    <row r="253" spans="1:17">
      <c r="A253" s="3" t="s">
        <v>283</v>
      </c>
      <c r="B253" s="4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 s="3">
        <v>61.6</v>
      </c>
      <c r="Q253" t="b">
        <f>COUNTIF($A$2:A253,A253)&gt;1</f>
        <v>0</v>
      </c>
    </row>
    <row r="254" spans="1:17">
      <c r="A254" s="3" t="s">
        <v>284</v>
      </c>
      <c r="B254" s="4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/>
      <c r="P254" s="3">
        <v>46.8</v>
      </c>
      <c r="Q254" t="b">
        <f>COUNTIF($A$2:A254,A254)&gt;1</f>
        <v>0</v>
      </c>
    </row>
    <row r="255" spans="1:17">
      <c r="A255" s="3" t="s">
        <v>285</v>
      </c>
      <c r="B255" s="4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/>
      <c r="P255" s="3">
        <v>58.5</v>
      </c>
      <c r="Q255" t="b">
        <f>COUNTIF($A$2:A255,A255)&gt;1</f>
        <v>0</v>
      </c>
    </row>
    <row r="256" spans="1:17">
      <c r="A256" s="3" t="s">
        <v>286</v>
      </c>
      <c r="B256" s="4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 s="3">
        <v>70.900000000000006</v>
      </c>
      <c r="Q256" t="b">
        <f>COUNTIF($A$2:A256,A256)&gt;1</f>
        <v>0</v>
      </c>
    </row>
    <row r="257" spans="1:17">
      <c r="A257" s="3" t="s">
        <v>287</v>
      </c>
      <c r="B257" s="4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/>
      <c r="P257" s="3">
        <v>48.4</v>
      </c>
      <c r="Q257" t="b">
        <f>COUNTIF($A$2:A257,A257)&gt;1</f>
        <v>0</v>
      </c>
    </row>
    <row r="258" spans="1:17">
      <c r="A258" s="3" t="s">
        <v>288</v>
      </c>
      <c r="B258" s="4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 s="3">
        <v>58</v>
      </c>
      <c r="Q258" t="b">
        <f>COUNTIF($A$2:A258,A258)&gt;1</f>
        <v>0</v>
      </c>
    </row>
    <row r="259" spans="1:17">
      <c r="A259" s="3" t="s">
        <v>289</v>
      </c>
      <c r="B259" s="4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 s="3">
        <v>61.6</v>
      </c>
      <c r="Q259" t="b">
        <f>COUNTIF($A$2:A259,A259)&gt;1</f>
        <v>0</v>
      </c>
    </row>
    <row r="260" spans="1:17">
      <c r="A260" s="3" t="s">
        <v>290</v>
      </c>
      <c r="B260" s="4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 s="3">
        <v>43.2</v>
      </c>
      <c r="Q260" t="b">
        <f>COUNTIF($A$2:A260,A260)&gt;1</f>
        <v>0</v>
      </c>
    </row>
    <row r="261" spans="1:17">
      <c r="A261" s="3" t="s">
        <v>291</v>
      </c>
      <c r="B261" s="4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0</v>
      </c>
      <c r="O261" s="3"/>
      <c r="P261" s="3">
        <v>53.3</v>
      </c>
      <c r="Q261" t="b">
        <f>COUNTIF($A$2:A261,A261)&gt;1</f>
        <v>0</v>
      </c>
    </row>
    <row r="262" spans="1:17">
      <c r="A262" s="3" t="s">
        <v>292</v>
      </c>
      <c r="B262" s="4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 s="3">
        <v>33.9</v>
      </c>
      <c r="Q262" t="b">
        <f>COUNTIF($A$2:A262,A262)&gt;1</f>
        <v>0</v>
      </c>
    </row>
    <row r="263" spans="1:17">
      <c r="A263" s="3" t="s">
        <v>293</v>
      </c>
      <c r="B263" s="4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/>
      <c r="P263" s="3">
        <v>35.4</v>
      </c>
      <c r="Q263" t="b">
        <f>COUNTIF($A$2:A263,A263)&gt;1</f>
        <v>0</v>
      </c>
    </row>
    <row r="264" spans="1:17">
      <c r="A264" s="3" t="s">
        <v>294</v>
      </c>
      <c r="B264" s="4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/>
      <c r="P264" s="3">
        <v>45</v>
      </c>
      <c r="Q264" t="b">
        <f>COUNTIF($A$2:A264,A264)&gt;1</f>
        <v>0</v>
      </c>
    </row>
    <row r="265" spans="1:17">
      <c r="A265" s="3" t="s">
        <v>295</v>
      </c>
      <c r="B265" s="4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/>
      <c r="P265" s="3">
        <v>86.5</v>
      </c>
      <c r="Q265" t="b">
        <f>COUNTIF($A$2:A265,A265)&gt;1</f>
        <v>0</v>
      </c>
    </row>
    <row r="266" spans="1:17">
      <c r="A266" s="3" t="s">
        <v>296</v>
      </c>
      <c r="B266" s="4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 s="3">
        <v>58.1</v>
      </c>
      <c r="Q266" t="b">
        <f>COUNTIF($A$2:A266,A266)&gt;1</f>
        <v>0</v>
      </c>
    </row>
    <row r="267" spans="1:17">
      <c r="A267" s="3" t="s">
        <v>297</v>
      </c>
      <c r="B267" s="4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 s="3">
        <v>36.1</v>
      </c>
      <c r="Q267" t="b">
        <f>COUNTIF($A$2:A267,A267)&gt;1</f>
        <v>0</v>
      </c>
    </row>
    <row r="268" spans="1:17">
      <c r="A268" s="3" t="s">
        <v>298</v>
      </c>
      <c r="B268" s="4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 s="3">
        <v>62.8</v>
      </c>
      <c r="Q268" t="b">
        <f>COUNTIF($A$2:A268,A268)&gt;1</f>
        <v>0</v>
      </c>
    </row>
    <row r="269" spans="1:17">
      <c r="A269" s="3" t="s">
        <v>299</v>
      </c>
      <c r="B269" s="4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 s="3">
        <v>54.2</v>
      </c>
      <c r="Q269" t="b">
        <f>COUNTIF($A$2:A269,A269)&gt;1</f>
        <v>0</v>
      </c>
    </row>
    <row r="270" spans="1:17">
      <c r="A270" s="3" t="s">
        <v>300</v>
      </c>
      <c r="B270" s="4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 s="3">
        <v>50</v>
      </c>
      <c r="Q270" t="b">
        <f>COUNTIF($A$2:A270,A270)&gt;1</f>
        <v>0</v>
      </c>
    </row>
    <row r="271" spans="1:17">
      <c r="A271" s="3" t="s">
        <v>301</v>
      </c>
      <c r="B271" s="4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/>
      <c r="P271" s="3">
        <v>62</v>
      </c>
      <c r="Q271" t="b">
        <f>COUNTIF($A$2:A271,A271)&gt;1</f>
        <v>0</v>
      </c>
    </row>
    <row r="272" spans="1:17">
      <c r="A272" s="3" t="s">
        <v>302</v>
      </c>
      <c r="B272" s="4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 s="3">
        <v>29.3</v>
      </c>
      <c r="Q272" t="b">
        <f>COUNTIF($A$2:A272,A272)&gt;1</f>
        <v>0</v>
      </c>
    </row>
    <row r="273" spans="1:17">
      <c r="A273" s="3" t="s">
        <v>303</v>
      </c>
      <c r="B273" s="4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/>
      <c r="P273" s="3">
        <v>67.900000000000006</v>
      </c>
      <c r="Q273" t="b">
        <f>COUNTIF($A$2:A273,A273)&gt;1</f>
        <v>0</v>
      </c>
    </row>
    <row r="274" spans="1:17">
      <c r="A274" s="3" t="s">
        <v>304</v>
      </c>
      <c r="B274" s="4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/>
      <c r="P274" s="3">
        <v>67.599999999999994</v>
      </c>
      <c r="Q274" t="b">
        <f>COUNTIF($A$2:A274,A274)&gt;1</f>
        <v>0</v>
      </c>
    </row>
    <row r="275" spans="1:17">
      <c r="A275" s="3" t="s">
        <v>305</v>
      </c>
      <c r="B275" s="4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 s="3">
        <v>67.400000000000006</v>
      </c>
      <c r="Q275" t="b">
        <f>COUNTIF($A$2:A275,A275)&gt;1</f>
        <v>0</v>
      </c>
    </row>
    <row r="276" spans="1:17">
      <c r="A276" s="3" t="s">
        <v>306</v>
      </c>
      <c r="B276" s="4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/>
      <c r="P276" s="3">
        <v>53</v>
      </c>
      <c r="Q276" t="b">
        <f>COUNTIF($A$2:A276,A276)&gt;1</f>
        <v>0</v>
      </c>
    </row>
    <row r="277" spans="1:17">
      <c r="A277" s="3" t="s">
        <v>307</v>
      </c>
      <c r="B277" s="4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 s="3">
        <v>65.5</v>
      </c>
      <c r="Q277" t="b">
        <f>COUNTIF($A$2:A277,A277)&gt;1</f>
        <v>0</v>
      </c>
    </row>
    <row r="278" spans="1:17">
      <c r="A278" s="3" t="s">
        <v>308</v>
      </c>
      <c r="B278" s="4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 s="3">
        <v>49.6</v>
      </c>
      <c r="Q278" t="b">
        <f>COUNTIF($A$2:A278,A278)&gt;1</f>
        <v>0</v>
      </c>
    </row>
    <row r="279" spans="1:17">
      <c r="A279" s="3" t="s">
        <v>309</v>
      </c>
      <c r="B279" s="4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 s="3">
        <v>74.5</v>
      </c>
      <c r="Q279" t="b">
        <f>COUNTIF($A$2:A279,A279)&gt;1</f>
        <v>0</v>
      </c>
    </row>
    <row r="280" spans="1:17">
      <c r="A280" s="3" t="s">
        <v>310</v>
      </c>
      <c r="B280" s="4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/>
      <c r="P280" s="3">
        <v>46.9</v>
      </c>
      <c r="Q280" t="b">
        <f>COUNTIF($A$2:A280,A280)&gt;1</f>
        <v>0</v>
      </c>
    </row>
    <row r="281" spans="1:17">
      <c r="A281" s="3" t="s">
        <v>311</v>
      </c>
      <c r="B281" s="4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 s="3">
        <v>87.1</v>
      </c>
      <c r="Q281" t="b">
        <f>COUNTIF($A$2:A281,A281)&gt;1</f>
        <v>0</v>
      </c>
    </row>
    <row r="282" spans="1:17">
      <c r="A282" s="3" t="s">
        <v>312</v>
      </c>
      <c r="B282" s="4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 s="3">
        <v>56</v>
      </c>
      <c r="Q282" t="b">
        <f>COUNTIF($A$2:A282,A282)&gt;1</f>
        <v>0</v>
      </c>
    </row>
    <row r="283" spans="1:17">
      <c r="A283" s="3" t="s">
        <v>313</v>
      </c>
      <c r="B283" s="4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1</v>
      </c>
      <c r="N283" s="3">
        <v>0</v>
      </c>
      <c r="O283" s="3"/>
      <c r="P283" s="3">
        <v>61.7</v>
      </c>
      <c r="Q283" t="b">
        <f>COUNTIF($A$2:A283,A283)&gt;1</f>
        <v>0</v>
      </c>
    </row>
    <row r="284" spans="1:17">
      <c r="A284" s="3" t="s">
        <v>314</v>
      </c>
      <c r="B284" s="4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/>
      <c r="P284" s="3">
        <v>70.5</v>
      </c>
      <c r="Q284" t="b">
        <f>COUNTIF($A$2:A284,A284)&gt;1</f>
        <v>0</v>
      </c>
    </row>
    <row r="285" spans="1:17">
      <c r="A285" s="3" t="s">
        <v>315</v>
      </c>
      <c r="B285" s="4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 s="3">
        <v>33.4</v>
      </c>
      <c r="Q285" t="b">
        <f>COUNTIF($A$2:A285,A285)&gt;1</f>
        <v>0</v>
      </c>
    </row>
    <row r="286" spans="1:17">
      <c r="A286" s="3" t="s">
        <v>316</v>
      </c>
      <c r="B286" s="4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/>
      <c r="P286" s="3">
        <v>57.5</v>
      </c>
      <c r="Q286" t="b">
        <f>COUNTIF($A$2:A286,A286)&gt;1</f>
        <v>0</v>
      </c>
    </row>
    <row r="287" spans="1:17">
      <c r="A287" s="3" t="s">
        <v>317</v>
      </c>
      <c r="B287" s="4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 s="3">
        <v>85.7</v>
      </c>
      <c r="Q287" t="b">
        <f>COUNTIF($A$2:A287,A287)&gt;1</f>
        <v>0</v>
      </c>
    </row>
    <row r="288" spans="1:17">
      <c r="A288" s="3" t="s">
        <v>318</v>
      </c>
      <c r="B288" s="4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 s="3">
        <v>41.9</v>
      </c>
      <c r="Q288" t="b">
        <f>COUNTIF($A$2:A288,A288)&gt;1</f>
        <v>0</v>
      </c>
    </row>
    <row r="289" spans="1:17">
      <c r="A289" s="3" t="s">
        <v>319</v>
      </c>
      <c r="B289" s="4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 s="3">
        <v>70.2</v>
      </c>
      <c r="Q289" t="b">
        <f>COUNTIF($A$2:A289,A289)&gt;1</f>
        <v>0</v>
      </c>
    </row>
    <row r="290" spans="1:17">
      <c r="A290" s="3" t="s">
        <v>320</v>
      </c>
      <c r="B290" s="4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/>
      <c r="P290" s="3">
        <v>42.6</v>
      </c>
      <c r="Q290" t="b">
        <f>COUNTIF($A$2:A290,A290)&gt;1</f>
        <v>0</v>
      </c>
    </row>
    <row r="291" spans="1:17">
      <c r="A291" s="3" t="s">
        <v>321</v>
      </c>
      <c r="B291" s="4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</v>
      </c>
      <c r="N291" s="3">
        <v>0</v>
      </c>
      <c r="O291" s="3"/>
      <c r="P291" s="3">
        <v>30.4</v>
      </c>
      <c r="Q291" t="b">
        <f>COUNTIF($A$2:A291,A291)&gt;1</f>
        <v>0</v>
      </c>
    </row>
    <row r="292" spans="1:17">
      <c r="A292" s="3" t="s">
        <v>322</v>
      </c>
      <c r="B292" s="4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 s="3">
        <v>63.7</v>
      </c>
      <c r="Q292" t="b">
        <f>COUNTIF($A$2:A292,A292)&gt;1</f>
        <v>0</v>
      </c>
    </row>
    <row r="293" spans="1:17">
      <c r="A293" s="3" t="s">
        <v>323</v>
      </c>
      <c r="B293" s="4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/>
      <c r="P293" s="3">
        <v>42.7</v>
      </c>
      <c r="Q293" t="b">
        <f>COUNTIF($A$2:A293,A293)&gt;1</f>
        <v>0</v>
      </c>
    </row>
    <row r="294" spans="1:17">
      <c r="A294" s="3" t="s">
        <v>324</v>
      </c>
      <c r="B294" s="4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/>
      <c r="P294" s="3">
        <v>74.3</v>
      </c>
      <c r="Q294" t="b">
        <f>COUNTIF($A$2:A294,A294)&gt;1</f>
        <v>0</v>
      </c>
    </row>
    <row r="295" spans="1:17">
      <c r="A295" s="3" t="s">
        <v>325</v>
      </c>
      <c r="B295" s="4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 s="3">
        <v>40.6</v>
      </c>
      <c r="Q295" t="b">
        <f>COUNTIF($A$2:A295,A295)&gt;1</f>
        <v>0</v>
      </c>
    </row>
    <row r="296" spans="1:17">
      <c r="A296" s="3" t="s">
        <v>326</v>
      </c>
      <c r="B296" s="4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 s="3">
        <v>67</v>
      </c>
      <c r="Q296" t="b">
        <f>COUNTIF($A$2:A296,A296)&gt;1</f>
        <v>0</v>
      </c>
    </row>
    <row r="297" spans="1:17">
      <c r="A297" s="3" t="s">
        <v>327</v>
      </c>
      <c r="B297" s="4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 s="3">
        <v>51</v>
      </c>
      <c r="Q297" t="b">
        <f>COUNTIF($A$2:A297,A297)&gt;1</f>
        <v>0</v>
      </c>
    </row>
    <row r="298" spans="1:17">
      <c r="A298" s="3" t="s">
        <v>328</v>
      </c>
      <c r="B298" s="4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1</v>
      </c>
      <c r="N298" s="3">
        <v>0</v>
      </c>
      <c r="O298" s="3"/>
      <c r="P298" s="3">
        <v>54.8</v>
      </c>
      <c r="Q298" t="b">
        <f>COUNTIF($A$2:A298,A298)&gt;1</f>
        <v>0</v>
      </c>
    </row>
    <row r="299" spans="1:17">
      <c r="A299" s="3" t="s">
        <v>329</v>
      </c>
      <c r="B299" s="4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 s="3">
        <v>40.799999999999997</v>
      </c>
      <c r="Q299" t="b">
        <f>COUNTIF($A$2:A299,A299)&gt;1</f>
        <v>0</v>
      </c>
    </row>
    <row r="300" spans="1:17">
      <c r="A300" s="3" t="s">
        <v>330</v>
      </c>
      <c r="B300" s="4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 s="3">
        <v>48.8</v>
      </c>
      <c r="Q300" t="b">
        <f>COUNTIF($A$2:A300,A300)&gt;1</f>
        <v>0</v>
      </c>
    </row>
    <row r="301" spans="1:17">
      <c r="A301" s="3" t="s">
        <v>331</v>
      </c>
      <c r="B301" s="4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>
        <v>1</v>
      </c>
      <c r="I301" s="3">
        <v>1</v>
      </c>
      <c r="J301" s="3">
        <v>1</v>
      </c>
      <c r="K301" s="3">
        <v>1</v>
      </c>
      <c r="L301" s="3">
        <v>1198.69</v>
      </c>
      <c r="M301" s="3">
        <v>1</v>
      </c>
      <c r="N301" s="3">
        <v>0</v>
      </c>
      <c r="O301" s="3">
        <v>6</v>
      </c>
      <c r="P301" s="3">
        <v>88.9</v>
      </c>
      <c r="Q301" t="b">
        <f>COUNTIF($A$2:A301,A301)&gt;1</f>
        <v>0</v>
      </c>
    </row>
    <row r="302" spans="1:17">
      <c r="A302" s="3" t="s">
        <v>332</v>
      </c>
      <c r="B302" s="4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1</v>
      </c>
      <c r="N302" s="3">
        <v>0</v>
      </c>
      <c r="O302" s="3"/>
      <c r="P302" s="3">
        <v>60.5</v>
      </c>
      <c r="Q302" t="b">
        <f>COUNTIF($A$2:A302,A302)&gt;1</f>
        <v>0</v>
      </c>
    </row>
    <row r="303" spans="1:17">
      <c r="A303" s="3" t="s">
        <v>333</v>
      </c>
      <c r="B303" s="4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 s="3">
        <v>63.6</v>
      </c>
      <c r="Q303" t="b">
        <f>COUNTIF($A$2:A303,A303)&gt;1</f>
        <v>0</v>
      </c>
    </row>
    <row r="304" spans="1:17">
      <c r="A304" s="3" t="s">
        <v>334</v>
      </c>
      <c r="B304" s="4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</v>
      </c>
      <c r="I304" s="3">
        <v>1</v>
      </c>
      <c r="J304" s="3">
        <v>1</v>
      </c>
      <c r="K304" s="3">
        <v>1</v>
      </c>
      <c r="L304" s="3">
        <v>6788.95</v>
      </c>
      <c r="M304" s="3">
        <v>0</v>
      </c>
      <c r="N304" s="3">
        <v>0</v>
      </c>
      <c r="O304" s="3">
        <v>17</v>
      </c>
      <c r="P304" s="3">
        <v>58.4</v>
      </c>
      <c r="Q304" t="b">
        <f>COUNTIF($A$2:A304,A304)&gt;1</f>
        <v>0</v>
      </c>
    </row>
    <row r="305" spans="1:17">
      <c r="A305" s="3" t="s">
        <v>335</v>
      </c>
      <c r="B305" s="4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 s="3">
        <v>52.7</v>
      </c>
      <c r="Q305" t="b">
        <f>COUNTIF($A$2:A305,A305)&gt;1</f>
        <v>0</v>
      </c>
    </row>
    <row r="306" spans="1:17">
      <c r="A306" s="3" t="s">
        <v>336</v>
      </c>
      <c r="B306" s="4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</v>
      </c>
      <c r="I306" s="3">
        <v>1</v>
      </c>
      <c r="J306" s="3">
        <v>1</v>
      </c>
      <c r="K306" s="3">
        <v>0</v>
      </c>
      <c r="L306" s="3">
        <v>0</v>
      </c>
      <c r="M306" s="3">
        <v>2</v>
      </c>
      <c r="N306" s="3">
        <v>0</v>
      </c>
      <c r="O306" s="3"/>
      <c r="P306" s="3">
        <v>48.9</v>
      </c>
      <c r="Q306" t="b">
        <f>COUNTIF($A$2:A306,A306)&gt;1</f>
        <v>0</v>
      </c>
    </row>
    <row r="307" spans="1:17">
      <c r="A307" s="3" t="s">
        <v>337</v>
      </c>
      <c r="B307" s="4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 s="3">
        <v>79.7</v>
      </c>
      <c r="Q307" t="b">
        <f>COUNTIF($A$2:A307,A307)&gt;1</f>
        <v>0</v>
      </c>
    </row>
    <row r="308" spans="1:17">
      <c r="A308" s="3" t="s">
        <v>338</v>
      </c>
      <c r="B308" s="4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/>
      <c r="P308" s="3">
        <v>44.9</v>
      </c>
      <c r="Q308" t="b">
        <f>COUNTIF($A$2:A308,A308)&gt;1</f>
        <v>0</v>
      </c>
    </row>
    <row r="309" spans="1:17">
      <c r="A309" s="3" t="s">
        <v>339</v>
      </c>
      <c r="B309" s="4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</v>
      </c>
      <c r="I309" s="3">
        <v>1</v>
      </c>
      <c r="J309" s="3">
        <v>1</v>
      </c>
      <c r="K309" s="3">
        <v>1</v>
      </c>
      <c r="L309" s="3">
        <v>409.39</v>
      </c>
      <c r="M309" s="3">
        <v>0</v>
      </c>
      <c r="N309" s="3">
        <v>0</v>
      </c>
      <c r="O309" s="3">
        <v>10</v>
      </c>
      <c r="P309" s="3">
        <v>38.799999999999997</v>
      </c>
      <c r="Q309" t="b">
        <f>COUNTIF($A$2:A309,A309)&gt;1</f>
        <v>0</v>
      </c>
    </row>
    <row r="310" spans="1:17">
      <c r="A310" s="3" t="s">
        <v>340</v>
      </c>
      <c r="B310" s="4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 s="3">
        <v>70</v>
      </c>
      <c r="Q310" t="b">
        <f>COUNTIF($A$2:A310,A310)&gt;1</f>
        <v>0</v>
      </c>
    </row>
    <row r="311" spans="1:17">
      <c r="A311" s="3" t="s">
        <v>341</v>
      </c>
      <c r="B311" s="4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/>
      <c r="P311" s="3">
        <v>77.7</v>
      </c>
      <c r="Q311" t="b">
        <f>COUNTIF($A$2:A311,A311)&gt;1</f>
        <v>0</v>
      </c>
    </row>
    <row r="312" spans="1:17">
      <c r="A312" s="3" t="s">
        <v>342</v>
      </c>
      <c r="B312" s="4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 s="3">
        <v>71.2</v>
      </c>
      <c r="Q312" t="b">
        <f>COUNTIF($A$2:A312,A312)&gt;1</f>
        <v>0</v>
      </c>
    </row>
    <row r="313" spans="1:17">
      <c r="A313" s="3" t="s">
        <v>343</v>
      </c>
      <c r="B313" s="4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 s="3">
        <v>43.8</v>
      </c>
      <c r="Q313" t="b">
        <f>COUNTIF($A$2:A313,A313)&gt;1</f>
        <v>0</v>
      </c>
    </row>
    <row r="314" spans="1:17">
      <c r="A314" s="3" t="s">
        <v>344</v>
      </c>
      <c r="B314" s="4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/>
      <c r="P314" s="3">
        <v>50.9</v>
      </c>
      <c r="Q314" t="b">
        <f>COUNTIF($A$2:A314,A314)&gt;1</f>
        <v>0</v>
      </c>
    </row>
    <row r="315" spans="1:17">
      <c r="A315" s="3" t="s">
        <v>345</v>
      </c>
      <c r="B315" s="4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 s="3">
        <v>58.5</v>
      </c>
      <c r="Q315" t="b">
        <f>COUNTIF($A$2:A315,A315)&gt;1</f>
        <v>0</v>
      </c>
    </row>
    <row r="316" spans="1:17">
      <c r="A316" s="3" t="s">
        <v>346</v>
      </c>
      <c r="B316" s="4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/>
      <c r="P316" s="3">
        <v>53.6</v>
      </c>
      <c r="Q316" t="b">
        <f>COUNTIF($A$2:A316,A316)&gt;1</f>
        <v>0</v>
      </c>
    </row>
    <row r="317" spans="1:17">
      <c r="A317" s="3" t="s">
        <v>347</v>
      </c>
      <c r="B317" s="4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 s="3">
        <v>54.9</v>
      </c>
      <c r="Q317" t="b">
        <f>COUNTIF($A$2:A317,A317)&gt;1</f>
        <v>0</v>
      </c>
    </row>
    <row r="318" spans="1:17">
      <c r="A318" s="3" t="s">
        <v>348</v>
      </c>
      <c r="B318" s="4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 s="3">
        <v>57.3</v>
      </c>
      <c r="Q318" t="b">
        <f>COUNTIF($A$2:A318,A318)&gt;1</f>
        <v>0</v>
      </c>
    </row>
    <row r="319" spans="1:17">
      <c r="A319" s="3" t="s">
        <v>349</v>
      </c>
      <c r="B319" s="4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 s="3">
        <v>52.1</v>
      </c>
      <c r="Q319" t="b">
        <f>COUNTIF($A$2:A319,A319)&gt;1</f>
        <v>0</v>
      </c>
    </row>
    <row r="320" spans="1:17">
      <c r="A320" s="3" t="s">
        <v>350</v>
      </c>
      <c r="B320" s="4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 s="3">
        <v>80</v>
      </c>
      <c r="Q320" t="b">
        <f>COUNTIF($A$2:A320,A320)&gt;1</f>
        <v>0</v>
      </c>
    </row>
    <row r="321" spans="1:17">
      <c r="A321" s="3" t="s">
        <v>351</v>
      </c>
      <c r="B321" s="4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 s="3">
        <v>39.299999999999997</v>
      </c>
      <c r="Q321" t="b">
        <f>COUNTIF($A$2:A321,A321)&gt;1</f>
        <v>0</v>
      </c>
    </row>
    <row r="322" spans="1:17">
      <c r="A322" s="3" t="s">
        <v>352</v>
      </c>
      <c r="B322" s="4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 s="3">
        <v>45.7</v>
      </c>
      <c r="Q322" t="b">
        <f>COUNTIF($A$2:A322,A322)&gt;1</f>
        <v>0</v>
      </c>
    </row>
    <row r="323" spans="1:17">
      <c r="A323" s="3" t="s">
        <v>353</v>
      </c>
      <c r="B323" s="4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2</v>
      </c>
      <c r="N323" s="3">
        <v>0</v>
      </c>
      <c r="O323" s="3"/>
      <c r="P323" s="3">
        <v>61.2</v>
      </c>
      <c r="Q323" t="b">
        <f>COUNTIF($A$2:A323,A323)&gt;1</f>
        <v>0</v>
      </c>
    </row>
    <row r="324" spans="1:17">
      <c r="A324" s="3" t="s">
        <v>354</v>
      </c>
      <c r="B324" s="4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 s="3">
        <v>66.2</v>
      </c>
      <c r="Q324" t="b">
        <f>COUNTIF($A$2:A324,A324)&gt;1</f>
        <v>0</v>
      </c>
    </row>
    <row r="325" spans="1:17">
      <c r="A325" s="3" t="s">
        <v>355</v>
      </c>
      <c r="B325" s="4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0</v>
      </c>
      <c r="O325" s="3"/>
      <c r="P325" s="3">
        <v>61.3</v>
      </c>
      <c r="Q325" t="b">
        <f>COUNTIF($A$2:A325,A325)&gt;1</f>
        <v>0</v>
      </c>
    </row>
    <row r="326" spans="1:17">
      <c r="A326" s="3" t="s">
        <v>356</v>
      </c>
      <c r="B326" s="4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 s="3">
        <v>72.2</v>
      </c>
      <c r="Q326" t="b">
        <f>COUNTIF($A$2:A326,A326)&gt;1</f>
        <v>0</v>
      </c>
    </row>
    <row r="327" spans="1:17">
      <c r="A327" s="3" t="s">
        <v>357</v>
      </c>
      <c r="B327" s="4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/>
      <c r="P327" s="3">
        <v>84</v>
      </c>
      <c r="Q327" t="b">
        <f>COUNTIF($A$2:A327,A327)&gt;1</f>
        <v>0</v>
      </c>
    </row>
    <row r="328" spans="1:17">
      <c r="A328" s="3" t="s">
        <v>358</v>
      </c>
      <c r="B328" s="4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 s="3">
        <v>59.8</v>
      </c>
      <c r="Q328" t="b">
        <f>COUNTIF($A$2:A328,A328)&gt;1</f>
        <v>0</v>
      </c>
    </row>
    <row r="329" spans="1:17">
      <c r="A329" s="3" t="s">
        <v>359</v>
      </c>
      <c r="B329" s="4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 s="3">
        <v>64.900000000000006</v>
      </c>
      <c r="Q329" t="b">
        <f>COUNTIF($A$2:A329,A329)&gt;1</f>
        <v>0</v>
      </c>
    </row>
    <row r="330" spans="1:17">
      <c r="A330" s="3" t="s">
        <v>360</v>
      </c>
      <c r="B330" s="4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/>
      <c r="P330" s="3">
        <v>66.8</v>
      </c>
      <c r="Q330" t="b">
        <f>COUNTIF($A$2:A330,A330)&gt;1</f>
        <v>0</v>
      </c>
    </row>
    <row r="331" spans="1:17">
      <c r="A331" s="3" t="s">
        <v>361</v>
      </c>
      <c r="B331" s="4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 s="3">
        <v>70.900000000000006</v>
      </c>
      <c r="Q331" t="b">
        <f>COUNTIF($A$2:A331,A331)&gt;1</f>
        <v>0</v>
      </c>
    </row>
    <row r="332" spans="1:17">
      <c r="A332" s="3" t="s">
        <v>362</v>
      </c>
      <c r="B332" s="4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</v>
      </c>
      <c r="I332" s="3">
        <v>1</v>
      </c>
      <c r="J332" s="3">
        <v>1</v>
      </c>
      <c r="K332" s="3">
        <v>1</v>
      </c>
      <c r="L332" s="3">
        <v>426.82</v>
      </c>
      <c r="M332" s="3">
        <v>1</v>
      </c>
      <c r="N332" s="3">
        <v>0</v>
      </c>
      <c r="O332" s="3">
        <v>14</v>
      </c>
      <c r="P332" s="3">
        <v>68.8</v>
      </c>
      <c r="Q332" t="b">
        <f>COUNTIF($A$2:A332,A332)&gt;1</f>
        <v>0</v>
      </c>
    </row>
    <row r="333" spans="1:17">
      <c r="A333" s="3" t="s">
        <v>363</v>
      </c>
      <c r="B333" s="4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 s="3">
        <v>72.400000000000006</v>
      </c>
      <c r="Q333" t="b">
        <f>COUNTIF($A$2:A333,A333)&gt;1</f>
        <v>0</v>
      </c>
    </row>
    <row r="334" spans="1:17">
      <c r="A334" s="3" t="s">
        <v>364</v>
      </c>
      <c r="B334" s="4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/>
      <c r="P334" s="3">
        <v>63.3</v>
      </c>
      <c r="Q334" t="b">
        <f>COUNTIF($A$2:A334,A334)&gt;1</f>
        <v>0</v>
      </c>
    </row>
    <row r="335" spans="1:17">
      <c r="A335" s="3" t="s">
        <v>365</v>
      </c>
      <c r="B335" s="4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 s="3">
        <v>30.8</v>
      </c>
      <c r="Q335" t="b">
        <f>COUNTIF($A$2:A335,A335)&gt;1</f>
        <v>0</v>
      </c>
    </row>
    <row r="336" spans="1:17">
      <c r="A336" s="3" t="s">
        <v>366</v>
      </c>
      <c r="B336" s="4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</v>
      </c>
      <c r="I336" s="3">
        <v>1</v>
      </c>
      <c r="J336" s="3">
        <v>1</v>
      </c>
      <c r="K336" s="3">
        <v>1</v>
      </c>
      <c r="L336" s="3">
        <v>874.55</v>
      </c>
      <c r="M336" s="3">
        <v>0</v>
      </c>
      <c r="N336" s="3">
        <v>0</v>
      </c>
      <c r="O336" s="3">
        <v>9</v>
      </c>
      <c r="P336" s="3">
        <v>44.2</v>
      </c>
      <c r="Q336" t="b">
        <f>COUNTIF($A$2:A336,A336)&gt;1</f>
        <v>0</v>
      </c>
    </row>
    <row r="337" spans="1:17">
      <c r="A337" s="3" t="s">
        <v>367</v>
      </c>
      <c r="B337" s="4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</v>
      </c>
      <c r="I337" s="3">
        <v>1</v>
      </c>
      <c r="J337" s="3">
        <v>1</v>
      </c>
      <c r="K337" s="3">
        <v>1</v>
      </c>
      <c r="L337" s="3">
        <v>2206.88</v>
      </c>
      <c r="M337" s="3">
        <v>0</v>
      </c>
      <c r="N337" s="3">
        <v>0</v>
      </c>
      <c r="O337" s="3">
        <v>10</v>
      </c>
      <c r="P337" s="3">
        <v>56.2</v>
      </c>
      <c r="Q337" t="b">
        <f>COUNTIF($A$2:A337,A337)&gt;1</f>
        <v>0</v>
      </c>
    </row>
    <row r="338" spans="1:17">
      <c r="A338" s="3" t="s">
        <v>368</v>
      </c>
      <c r="B338" s="4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 s="3">
        <v>40.4</v>
      </c>
      <c r="Q338" t="b">
        <f>COUNTIF($A$2:A338,A338)&gt;1</f>
        <v>0</v>
      </c>
    </row>
    <row r="339" spans="1:17">
      <c r="A339" s="3" t="s">
        <v>369</v>
      </c>
      <c r="B339" s="4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/>
      <c r="P339" s="3">
        <v>68.099999999999994</v>
      </c>
      <c r="Q339" t="b">
        <f>COUNTIF($A$2:A339,A339)&gt;1</f>
        <v>0</v>
      </c>
    </row>
    <row r="340" spans="1:17">
      <c r="A340" s="3" t="s">
        <v>370</v>
      </c>
      <c r="B340" s="4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 s="3">
        <v>86.3</v>
      </c>
      <c r="Q340" t="b">
        <f>COUNTIF($A$2:A340,A340)&gt;1</f>
        <v>0</v>
      </c>
    </row>
    <row r="341" spans="1:17">
      <c r="A341" s="3" t="s">
        <v>371</v>
      </c>
      <c r="B341" s="4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 s="3">
        <v>42.9</v>
      </c>
      <c r="Q341" t="b">
        <f>COUNTIF($A$2:A341,A341)&gt;1</f>
        <v>0</v>
      </c>
    </row>
    <row r="342" spans="1:17">
      <c r="A342" s="3" t="s">
        <v>372</v>
      </c>
      <c r="B342" s="4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 s="3">
        <v>61.4</v>
      </c>
      <c r="Q342" t="b">
        <f>COUNTIF($A$2:A342,A342)&gt;1</f>
        <v>0</v>
      </c>
    </row>
    <row r="343" spans="1:17">
      <c r="A343" s="3" t="s">
        <v>373</v>
      </c>
      <c r="B343" s="4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/>
      <c r="P343" s="3">
        <v>73.3</v>
      </c>
      <c r="Q343" t="b">
        <f>COUNTIF($A$2:A343,A343)&gt;1</f>
        <v>0</v>
      </c>
    </row>
    <row r="344" spans="1:17">
      <c r="A344" s="3" t="s">
        <v>374</v>
      </c>
      <c r="B344" s="4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 s="3">
        <v>59.4</v>
      </c>
      <c r="Q344" t="b">
        <f>COUNTIF($A$2:A344,A344)&gt;1</f>
        <v>0</v>
      </c>
    </row>
    <row r="345" spans="1:17">
      <c r="A345" s="3" t="s">
        <v>375</v>
      </c>
      <c r="B345" s="4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 s="3">
        <v>35.200000000000003</v>
      </c>
      <c r="Q345" t="b">
        <f>COUNTIF($A$2:A345,A345)&gt;1</f>
        <v>0</v>
      </c>
    </row>
    <row r="346" spans="1:17">
      <c r="A346" s="3" t="s">
        <v>376</v>
      </c>
      <c r="B346" s="4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 s="3">
        <v>55.3</v>
      </c>
      <c r="Q346" t="b">
        <f>COUNTIF($A$2:A346,A346)&gt;1</f>
        <v>0</v>
      </c>
    </row>
    <row r="347" spans="1:17">
      <c r="A347" s="3" t="s">
        <v>377</v>
      </c>
      <c r="B347" s="4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/>
      <c r="P347" s="3">
        <v>37.5</v>
      </c>
      <c r="Q347" t="b">
        <f>COUNTIF($A$2:A347,A347)&gt;1</f>
        <v>0</v>
      </c>
    </row>
    <row r="348" spans="1:17">
      <c r="A348" s="3" t="s">
        <v>378</v>
      </c>
      <c r="B348" s="4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1</v>
      </c>
      <c r="N348" s="3">
        <v>0</v>
      </c>
      <c r="O348" s="3"/>
      <c r="P348" s="3">
        <v>66.400000000000006</v>
      </c>
      <c r="Q348" t="b">
        <f>COUNTIF($A$2:A348,A348)&gt;1</f>
        <v>0</v>
      </c>
    </row>
    <row r="349" spans="1:17">
      <c r="A349" s="3" t="s">
        <v>379</v>
      </c>
      <c r="B349" s="4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 s="3">
        <v>61.9</v>
      </c>
      <c r="Q349" t="b">
        <f>COUNTIF($A$2:A349,A349)&gt;1</f>
        <v>0</v>
      </c>
    </row>
    <row r="350" spans="1:17">
      <c r="A350" s="3" t="s">
        <v>380</v>
      </c>
      <c r="B350" s="4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 s="3">
        <v>56</v>
      </c>
      <c r="Q350" t="b">
        <f>COUNTIF($A$2:A350,A350)&gt;1</f>
        <v>0</v>
      </c>
    </row>
    <row r="351" spans="1:17">
      <c r="A351" s="3" t="s">
        <v>381</v>
      </c>
      <c r="B351" s="4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 s="3">
        <v>55.5</v>
      </c>
      <c r="Q351" t="b">
        <f>COUNTIF($A$2:A351,A351)&gt;1</f>
        <v>0</v>
      </c>
    </row>
    <row r="352" spans="1:17">
      <c r="A352" s="3" t="s">
        <v>382</v>
      </c>
      <c r="B352" s="4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/>
      <c r="P352" s="3">
        <v>37.200000000000003</v>
      </c>
      <c r="Q352" t="b">
        <f>COUNTIF($A$2:A352,A352)&gt;1</f>
        <v>0</v>
      </c>
    </row>
    <row r="353" spans="1:17">
      <c r="A353" s="3" t="s">
        <v>383</v>
      </c>
      <c r="B353" s="4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/>
      <c r="P353" s="3">
        <v>70.5</v>
      </c>
      <c r="Q353" t="b">
        <f>COUNTIF($A$2:A353,A353)&gt;1</f>
        <v>0</v>
      </c>
    </row>
    <row r="354" spans="1:17">
      <c r="A354" s="3" t="s">
        <v>384</v>
      </c>
      <c r="B354" s="4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 s="3">
        <v>61.2</v>
      </c>
      <c r="Q354" t="b">
        <f>COUNTIF($A$2:A354,A354)&gt;1</f>
        <v>0</v>
      </c>
    </row>
    <row r="355" spans="1:17">
      <c r="A355" s="3" t="s">
        <v>385</v>
      </c>
      <c r="B355" s="4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/>
      <c r="P355" s="3">
        <v>64.599999999999994</v>
      </c>
      <c r="Q355" t="b">
        <f>COUNTIF($A$2:A355,A355)&gt;1</f>
        <v>0</v>
      </c>
    </row>
    <row r="356" spans="1:17">
      <c r="A356" s="3" t="s">
        <v>386</v>
      </c>
      <c r="B356" s="4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 s="3">
        <v>91.7</v>
      </c>
      <c r="Q356" t="b">
        <f>COUNTIF($A$2:A356,A356)&gt;1</f>
        <v>0</v>
      </c>
    </row>
    <row r="357" spans="1:17">
      <c r="A357" s="3" t="s">
        <v>387</v>
      </c>
      <c r="B357" s="4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/>
      <c r="P357" s="3">
        <v>46</v>
      </c>
      <c r="Q357" t="b">
        <f>COUNTIF($A$2:A357,A357)&gt;1</f>
        <v>0</v>
      </c>
    </row>
    <row r="358" spans="1:17">
      <c r="A358" s="3" t="s">
        <v>388</v>
      </c>
      <c r="B358" s="4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 s="3">
        <v>50.8</v>
      </c>
      <c r="Q358" t="b">
        <f>COUNTIF($A$2:A358,A358)&gt;1</f>
        <v>0</v>
      </c>
    </row>
    <row r="359" spans="1:17">
      <c r="A359" s="3" t="s">
        <v>389</v>
      </c>
      <c r="B359" s="4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 s="3">
        <v>52.8</v>
      </c>
      <c r="Q359" t="b">
        <f>COUNTIF($A$2:A359,A359)&gt;1</f>
        <v>0</v>
      </c>
    </row>
    <row r="360" spans="1:17">
      <c r="A360" s="3" t="s">
        <v>390</v>
      </c>
      <c r="B360" s="4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/>
      <c r="P360" s="3">
        <v>63</v>
      </c>
      <c r="Q360" t="b">
        <f>COUNTIF($A$2:A360,A360)&gt;1</f>
        <v>0</v>
      </c>
    </row>
    <row r="361" spans="1:17">
      <c r="A361" s="3" t="s">
        <v>391</v>
      </c>
      <c r="B361" s="4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 s="3">
        <v>28.4</v>
      </c>
      <c r="Q361" t="b">
        <f>COUNTIF($A$2:A361,A361)&gt;1</f>
        <v>0</v>
      </c>
    </row>
    <row r="362" spans="1:17">
      <c r="A362" s="3" t="s">
        <v>392</v>
      </c>
      <c r="B362" s="4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 s="3">
        <v>65.599999999999994</v>
      </c>
      <c r="Q362" t="b">
        <f>COUNTIF($A$2:A362,A362)&gt;1</f>
        <v>0</v>
      </c>
    </row>
    <row r="363" spans="1:17">
      <c r="A363" s="3" t="s">
        <v>393</v>
      </c>
      <c r="B363" s="4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 s="3">
        <v>54.7</v>
      </c>
      <c r="Q363" t="b">
        <f>COUNTIF($A$2:A363,A363)&gt;1</f>
        <v>0</v>
      </c>
    </row>
    <row r="364" spans="1:17">
      <c r="A364" s="3" t="s">
        <v>394</v>
      </c>
      <c r="B364" s="4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/>
      <c r="P364" s="3">
        <v>36.1</v>
      </c>
      <c r="Q364" t="b">
        <f>COUNTIF($A$2:A364,A364)&gt;1</f>
        <v>0</v>
      </c>
    </row>
    <row r="365" spans="1:17">
      <c r="A365" s="3" t="s">
        <v>395</v>
      </c>
      <c r="B365" s="4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/>
      <c r="P365" s="3">
        <v>70.400000000000006</v>
      </c>
      <c r="Q365" t="b">
        <f>COUNTIF($A$2:A365,A365)&gt;1</f>
        <v>0</v>
      </c>
    </row>
    <row r="366" spans="1:17">
      <c r="A366" s="3" t="s">
        <v>396</v>
      </c>
      <c r="B366" s="4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 s="3">
        <v>56.4</v>
      </c>
      <c r="Q366" t="b">
        <f>COUNTIF($A$2:A366,A366)&gt;1</f>
        <v>0</v>
      </c>
    </row>
    <row r="367" spans="1:17">
      <c r="A367" s="3" t="s">
        <v>397</v>
      </c>
      <c r="B367" s="4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/>
      <c r="P367" s="3">
        <v>79.2</v>
      </c>
      <c r="Q367" t="b">
        <f>COUNTIF($A$2:A367,A367)&gt;1</f>
        <v>0</v>
      </c>
    </row>
    <row r="368" spans="1:17">
      <c r="A368" s="3" t="s">
        <v>398</v>
      </c>
      <c r="B368" s="4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/>
      <c r="P368" s="3">
        <v>60.1</v>
      </c>
      <c r="Q368" t="b">
        <f>COUNTIF($A$2:A368,A368)&gt;1</f>
        <v>0</v>
      </c>
    </row>
    <row r="369" spans="1:17">
      <c r="A369" s="3" t="s">
        <v>399</v>
      </c>
      <c r="B369" s="4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/>
      <c r="P369" s="3">
        <v>58</v>
      </c>
      <c r="Q369" t="b">
        <f>COUNTIF($A$2:A369,A369)&gt;1</f>
        <v>0</v>
      </c>
    </row>
    <row r="370" spans="1:17">
      <c r="A370" s="3" t="s">
        <v>400</v>
      </c>
      <c r="B370" s="4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/>
      <c r="P370" s="3">
        <v>69</v>
      </c>
      <c r="Q370" t="b">
        <f>COUNTIF($A$2:A370,A370)&gt;1</f>
        <v>0</v>
      </c>
    </row>
    <row r="371" spans="1:17">
      <c r="A371" s="3" t="s">
        <v>401</v>
      </c>
      <c r="B371" s="4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</v>
      </c>
      <c r="I371" s="3">
        <v>1</v>
      </c>
      <c r="J371" s="3">
        <v>1</v>
      </c>
      <c r="K371" s="3">
        <v>0</v>
      </c>
      <c r="L371" s="3">
        <v>0</v>
      </c>
      <c r="M371" s="3">
        <v>1</v>
      </c>
      <c r="N371" s="3">
        <v>0</v>
      </c>
      <c r="O371" s="3"/>
      <c r="P371" s="3">
        <v>80.8</v>
      </c>
      <c r="Q371" t="b">
        <f>COUNTIF($A$2:A371,A371)&gt;1</f>
        <v>0</v>
      </c>
    </row>
    <row r="372" spans="1:17">
      <c r="A372" s="3" t="s">
        <v>402</v>
      </c>
      <c r="B372" s="4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/>
      <c r="P372" s="3">
        <v>32.799999999999997</v>
      </c>
      <c r="Q372" t="b">
        <f>COUNTIF($A$2:A372,A372)&gt;1</f>
        <v>0</v>
      </c>
    </row>
    <row r="373" spans="1:17">
      <c r="A373" s="3" t="s">
        <v>403</v>
      </c>
      <c r="B373" s="4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 s="3">
        <v>56</v>
      </c>
      <c r="Q373" t="b">
        <f>COUNTIF($A$2:A373,A373)&gt;1</f>
        <v>0</v>
      </c>
    </row>
    <row r="374" spans="1:17">
      <c r="A374" s="3" t="s">
        <v>404</v>
      </c>
      <c r="B374" s="4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/>
      <c r="P374" s="3">
        <v>76.400000000000006</v>
      </c>
      <c r="Q374" t="b">
        <f>COUNTIF($A$2:A374,A374)&gt;1</f>
        <v>0</v>
      </c>
    </row>
    <row r="375" spans="1:17">
      <c r="A375" s="3" t="s">
        <v>405</v>
      </c>
      <c r="B375" s="4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/>
      <c r="P375" s="3">
        <v>28.5</v>
      </c>
      <c r="Q375" t="b">
        <f>COUNTIF($A$2:A375,A375)&gt;1</f>
        <v>0</v>
      </c>
    </row>
    <row r="376" spans="1:17">
      <c r="A376" s="3" t="s">
        <v>406</v>
      </c>
      <c r="B376" s="4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/>
      <c r="P376" s="3">
        <v>48.3</v>
      </c>
      <c r="Q376" t="b">
        <f>COUNTIF($A$2:A376,A376)&gt;1</f>
        <v>0</v>
      </c>
    </row>
    <row r="377" spans="1:17">
      <c r="A377" s="3" t="s">
        <v>407</v>
      </c>
      <c r="B377" s="4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 s="3">
        <v>43.4</v>
      </c>
      <c r="Q377" t="b">
        <f>COUNTIF($A$2:A377,A377)&gt;1</f>
        <v>0</v>
      </c>
    </row>
    <row r="378" spans="1:17">
      <c r="A378" s="3" t="s">
        <v>408</v>
      </c>
      <c r="B378" s="4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 s="3">
        <v>43</v>
      </c>
      <c r="Q378" t="b">
        <f>COUNTIF($A$2:A378,A378)&gt;1</f>
        <v>0</v>
      </c>
    </row>
    <row r="379" spans="1:17">
      <c r="A379" s="3" t="s">
        <v>409</v>
      </c>
      <c r="B379" s="4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/>
      <c r="P379" s="3">
        <v>91.8</v>
      </c>
      <c r="Q379" t="b">
        <f>COUNTIF($A$2:A379,A379)&gt;1</f>
        <v>0</v>
      </c>
    </row>
    <row r="380" spans="1:17">
      <c r="A380" s="3" t="s">
        <v>410</v>
      </c>
      <c r="B380" s="4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1</v>
      </c>
      <c r="N380" s="3">
        <v>0</v>
      </c>
      <c r="O380" s="3"/>
      <c r="P380" s="3">
        <v>69.3</v>
      </c>
      <c r="Q380" t="b">
        <f>COUNTIF($A$2:A380,A380)&gt;1</f>
        <v>0</v>
      </c>
    </row>
    <row r="381" spans="1:17">
      <c r="A381" s="3" t="s">
        <v>411</v>
      </c>
      <c r="B381" s="4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 s="3">
        <v>58.9</v>
      </c>
      <c r="Q381" t="b">
        <f>COUNTIF($A$2:A381,A381)&gt;1</f>
        <v>0</v>
      </c>
    </row>
    <row r="382" spans="1:17">
      <c r="A382" s="3" t="s">
        <v>412</v>
      </c>
      <c r="B382" s="4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3"/>
      <c r="P382" s="3">
        <v>76</v>
      </c>
      <c r="Q382" t="b">
        <f>COUNTIF($A$2:A382,A382)&gt;1</f>
        <v>0</v>
      </c>
    </row>
    <row r="383" spans="1:17">
      <c r="A383" s="3" t="s">
        <v>413</v>
      </c>
      <c r="B383" s="4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/>
      <c r="P383" s="3">
        <v>46</v>
      </c>
      <c r="Q383" t="b">
        <f>COUNTIF($A$2:A383,A383)&gt;1</f>
        <v>0</v>
      </c>
    </row>
    <row r="384" spans="1:17">
      <c r="A384" s="3" t="s">
        <v>414</v>
      </c>
      <c r="B384" s="4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/>
      <c r="P384" s="3">
        <v>54.1</v>
      </c>
      <c r="Q384" t="b">
        <f>COUNTIF($A$2:A384,A384)&gt;1</f>
        <v>0</v>
      </c>
    </row>
    <row r="385" spans="1:17">
      <c r="A385" s="3" t="s">
        <v>415</v>
      </c>
      <c r="B385" s="4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 s="3">
        <v>82.4</v>
      </c>
      <c r="Q385" t="b">
        <f>COUNTIF($A$2:A385,A385)&gt;1</f>
        <v>0</v>
      </c>
    </row>
    <row r="386" spans="1:17">
      <c r="A386" s="3" t="s">
        <v>416</v>
      </c>
      <c r="B386" s="4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 s="3">
        <v>71.900000000000006</v>
      </c>
      <c r="Q386" t="b">
        <f>COUNTIF($A$2:A386,A386)&gt;1</f>
        <v>0</v>
      </c>
    </row>
    <row r="387" spans="1:17">
      <c r="A387" s="3" t="s">
        <v>417</v>
      </c>
      <c r="B387" s="4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2</v>
      </c>
      <c r="N387" s="3">
        <v>0</v>
      </c>
      <c r="O387" s="3"/>
      <c r="P387" s="3">
        <v>38</v>
      </c>
      <c r="Q387" t="b">
        <f>COUNTIF($A$2:A387,A387)&gt;1</f>
        <v>0</v>
      </c>
    </row>
    <row r="388" spans="1:17">
      <c r="A388" s="3" t="s">
        <v>418</v>
      </c>
      <c r="B388" s="4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 s="3">
        <v>43.7</v>
      </c>
      <c r="Q388" t="b">
        <f>COUNTIF($A$2:A388,A388)&gt;1</f>
        <v>0</v>
      </c>
    </row>
    <row r="389" spans="1:17">
      <c r="A389" s="3" t="s">
        <v>419</v>
      </c>
      <c r="B389" s="4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/>
      <c r="P389" s="3">
        <v>32.200000000000003</v>
      </c>
      <c r="Q389" t="b">
        <f>COUNTIF($A$2:A389,A389)&gt;1</f>
        <v>0</v>
      </c>
    </row>
    <row r="390" spans="1:17">
      <c r="A390" s="3" t="s">
        <v>420</v>
      </c>
      <c r="B390" s="4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/>
      <c r="P390" s="3">
        <v>61</v>
      </c>
      <c r="Q390" t="b">
        <f>COUNTIF($A$2:A390,A390)&gt;1</f>
        <v>0</v>
      </c>
    </row>
    <row r="391" spans="1:17">
      <c r="A391" s="3" t="s">
        <v>421</v>
      </c>
      <c r="B391" s="4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/>
      <c r="P391" s="3">
        <v>49</v>
      </c>
      <c r="Q391" t="b">
        <f>COUNTIF($A$2:A391,A391)&gt;1</f>
        <v>0</v>
      </c>
    </row>
    <row r="392" spans="1:17">
      <c r="A392" s="3" t="s">
        <v>422</v>
      </c>
      <c r="B392" s="4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 s="3">
        <v>48.1</v>
      </c>
      <c r="Q392" t="b">
        <f>COUNTIF($A$2:A392,A392)&gt;1</f>
        <v>0</v>
      </c>
    </row>
    <row r="393" spans="1:17">
      <c r="A393" s="3" t="s">
        <v>423</v>
      </c>
      <c r="B393" s="4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/>
      <c r="P393" s="3">
        <v>46.3</v>
      </c>
      <c r="Q393" t="b">
        <f>COUNTIF($A$2:A393,A393)&gt;1</f>
        <v>0</v>
      </c>
    </row>
    <row r="394" spans="1:17">
      <c r="A394" s="3" t="s">
        <v>424</v>
      </c>
      <c r="B394" s="4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 s="3">
        <v>64</v>
      </c>
      <c r="Q394" t="b">
        <f>COUNTIF($A$2:A394,A394)&gt;1</f>
        <v>0</v>
      </c>
    </row>
    <row r="395" spans="1:17">
      <c r="A395" s="3" t="s">
        <v>425</v>
      </c>
      <c r="B395" s="4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 s="3">
        <v>56.2</v>
      </c>
      <c r="Q395" t="b">
        <f>COUNTIF($A$2:A395,A395)&gt;1</f>
        <v>0</v>
      </c>
    </row>
    <row r="396" spans="1:17">
      <c r="A396" s="3" t="s">
        <v>426</v>
      </c>
      <c r="B396" s="4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</v>
      </c>
      <c r="I396" s="3">
        <v>1</v>
      </c>
      <c r="J396" s="3">
        <v>1</v>
      </c>
      <c r="K396" s="3">
        <v>0</v>
      </c>
      <c r="L396" s="3">
        <v>0</v>
      </c>
      <c r="M396" s="3">
        <v>0</v>
      </c>
      <c r="N396" s="3">
        <v>0</v>
      </c>
      <c r="O396" s="3"/>
      <c r="P396" s="3">
        <v>77.5</v>
      </c>
      <c r="Q396" t="b">
        <f>COUNTIF($A$2:A396,A396)&gt;1</f>
        <v>0</v>
      </c>
    </row>
    <row r="397" spans="1:17">
      <c r="A397" s="3" t="s">
        <v>427</v>
      </c>
      <c r="B397" s="4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/>
      <c r="P397" s="3">
        <v>59.9</v>
      </c>
      <c r="Q397" t="b">
        <f>COUNTIF($A$2:A397,A397)&gt;1</f>
        <v>0</v>
      </c>
    </row>
    <row r="398" spans="1:17">
      <c r="A398" s="3" t="s">
        <v>428</v>
      </c>
      <c r="B398" s="4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 s="3">
        <v>63</v>
      </c>
      <c r="Q398" t="b">
        <f>COUNTIF($A$2:A398,A398)&gt;1</f>
        <v>0</v>
      </c>
    </row>
    <row r="399" spans="1:17">
      <c r="A399" s="3" t="s">
        <v>429</v>
      </c>
      <c r="B399" s="4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 s="3">
        <v>76.5</v>
      </c>
      <c r="Q399" t="b">
        <f>COUNTIF($A$2:A399,A399)&gt;1</f>
        <v>0</v>
      </c>
    </row>
    <row r="400" spans="1:17">
      <c r="A400" s="3" t="s">
        <v>430</v>
      </c>
      <c r="B400" s="4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/>
      <c r="P400" s="3">
        <v>39.700000000000003</v>
      </c>
      <c r="Q400" t="b">
        <f>COUNTIF($A$2:A400,A400)&gt;1</f>
        <v>0</v>
      </c>
    </row>
    <row r="401" spans="1:17">
      <c r="A401" s="3" t="s">
        <v>431</v>
      </c>
      <c r="B401" s="4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 s="3">
        <v>80.2</v>
      </c>
      <c r="Q401" t="b">
        <f>COUNTIF($A$2:A401,A401)&gt;1</f>
        <v>0</v>
      </c>
    </row>
    <row r="402" spans="1:17">
      <c r="A402" s="3" t="s">
        <v>432</v>
      </c>
      <c r="B402" s="4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 s="3">
        <v>72.2</v>
      </c>
      <c r="Q402" t="b">
        <f>COUNTIF($A$2:A402,A402)&gt;1</f>
        <v>0</v>
      </c>
    </row>
    <row r="403" spans="1:17">
      <c r="A403" s="3" t="s">
        <v>433</v>
      </c>
      <c r="B403" s="4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 s="3">
        <v>56</v>
      </c>
      <c r="Q403" t="b">
        <f>COUNTIF($A$2:A403,A403)&gt;1</f>
        <v>0</v>
      </c>
    </row>
    <row r="404" spans="1:17">
      <c r="A404" s="3" t="s">
        <v>434</v>
      </c>
      <c r="B404" s="4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0</v>
      </c>
      <c r="O404" s="3"/>
      <c r="P404" s="3">
        <v>69.099999999999994</v>
      </c>
      <c r="Q404" t="b">
        <f>COUNTIF($A$2:A404,A404)&gt;1</f>
        <v>0</v>
      </c>
    </row>
    <row r="405" spans="1:17">
      <c r="A405" s="3" t="s">
        <v>435</v>
      </c>
      <c r="B405" s="4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</v>
      </c>
      <c r="N405" s="3">
        <v>0</v>
      </c>
      <c r="O405" s="3"/>
      <c r="P405" s="3">
        <v>70.599999999999994</v>
      </c>
      <c r="Q405" t="b">
        <f>COUNTIF($A$2:A405,A405)&gt;1</f>
        <v>0</v>
      </c>
    </row>
    <row r="406" spans="1:17">
      <c r="A406" s="3" t="s">
        <v>436</v>
      </c>
      <c r="B406" s="4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 s="3">
        <v>57.9</v>
      </c>
      <c r="Q406" t="b">
        <f>COUNTIF($A$2:A406,A406)&gt;1</f>
        <v>0</v>
      </c>
    </row>
    <row r="407" spans="1:17">
      <c r="A407" s="3" t="s">
        <v>437</v>
      </c>
      <c r="B407" s="4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</v>
      </c>
      <c r="I407" s="3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 s="3">
        <v>41.4</v>
      </c>
      <c r="Q407" t="b">
        <f>COUNTIF($A$2:A407,A407)&gt;1</f>
        <v>0</v>
      </c>
    </row>
    <row r="408" spans="1:17">
      <c r="A408" s="3" t="s">
        <v>438</v>
      </c>
      <c r="B408" s="4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/>
      <c r="P408" s="3">
        <v>60.9</v>
      </c>
      <c r="Q408" t="b">
        <f>COUNTIF($A$2:A408,A408)&gt;1</f>
        <v>0</v>
      </c>
    </row>
    <row r="409" spans="1:17">
      <c r="A409" s="3" t="s">
        <v>439</v>
      </c>
      <c r="B409" s="4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 s="3">
        <v>63.8</v>
      </c>
      <c r="Q409" t="b">
        <f>COUNTIF($A$2:A409,A409)&gt;1</f>
        <v>0</v>
      </c>
    </row>
    <row r="410" spans="1:17">
      <c r="A410" s="3" t="s">
        <v>440</v>
      </c>
      <c r="B410" s="4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 s="3">
        <v>79.2</v>
      </c>
      <c r="Q410" t="b">
        <f>COUNTIF($A$2:A410,A410)&gt;1</f>
        <v>0</v>
      </c>
    </row>
    <row r="411" spans="1:17">
      <c r="A411" s="3" t="s">
        <v>441</v>
      </c>
      <c r="B411" s="4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/>
      <c r="P411" s="3">
        <v>53.3</v>
      </c>
      <c r="Q411" t="b">
        <f>COUNTIF($A$2:A411,A411)&gt;1</f>
        <v>0</v>
      </c>
    </row>
    <row r="412" spans="1:17">
      <c r="A412" s="3" t="s">
        <v>442</v>
      </c>
      <c r="B412" s="4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</v>
      </c>
      <c r="I412" s="3">
        <v>1</v>
      </c>
      <c r="J412" s="3">
        <v>1</v>
      </c>
      <c r="K412" s="3">
        <v>1</v>
      </c>
      <c r="L412" s="3">
        <v>2144.8200000000002</v>
      </c>
      <c r="M412" s="3">
        <v>0</v>
      </c>
      <c r="N412" s="3">
        <v>0</v>
      </c>
      <c r="O412" s="3">
        <v>6</v>
      </c>
      <c r="P412" s="3">
        <v>52.3</v>
      </c>
      <c r="Q412" t="b">
        <f>COUNTIF($A$2:A412,A412)&gt;1</f>
        <v>0</v>
      </c>
    </row>
    <row r="413" spans="1:17">
      <c r="A413" s="3" t="s">
        <v>443</v>
      </c>
      <c r="B413" s="4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/>
      <c r="P413" s="3">
        <v>62.4</v>
      </c>
      <c r="Q413" t="b">
        <f>COUNTIF($A$2:A413,A413)&gt;1</f>
        <v>0</v>
      </c>
    </row>
    <row r="414" spans="1:17">
      <c r="A414" s="3" t="s">
        <v>444</v>
      </c>
      <c r="B414" s="4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 s="3">
        <v>45.5</v>
      </c>
      <c r="Q414" t="b">
        <f>COUNTIF($A$2:A414,A414)&gt;1</f>
        <v>0</v>
      </c>
    </row>
    <row r="415" spans="1:17">
      <c r="A415" s="3" t="s">
        <v>445</v>
      </c>
      <c r="B415" s="4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/>
      <c r="P415" s="3">
        <v>72.599999999999994</v>
      </c>
      <c r="Q415" t="b">
        <f>COUNTIF($A$2:A415,A415)&gt;1</f>
        <v>0</v>
      </c>
    </row>
    <row r="416" spans="1:17">
      <c r="A416" s="3" t="s">
        <v>446</v>
      </c>
      <c r="B416" s="4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O416" s="3"/>
      <c r="P416" s="3">
        <v>50.1</v>
      </c>
      <c r="Q416" t="b">
        <f>COUNTIF($A$2:A416,A416)&gt;1</f>
        <v>0</v>
      </c>
    </row>
    <row r="417" spans="1:17">
      <c r="A417" s="3" t="s">
        <v>447</v>
      </c>
      <c r="B417" s="4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</v>
      </c>
      <c r="I417" s="3">
        <v>1</v>
      </c>
      <c r="J417" s="3">
        <v>1</v>
      </c>
      <c r="K417" s="3">
        <v>0</v>
      </c>
      <c r="L417" s="3">
        <v>0</v>
      </c>
      <c r="M417" s="3">
        <v>2</v>
      </c>
      <c r="N417" s="3">
        <v>0</v>
      </c>
      <c r="O417" s="3"/>
      <c r="P417" s="3">
        <v>58.1</v>
      </c>
      <c r="Q417" t="b">
        <f>COUNTIF($A$2:A417,A417)&gt;1</f>
        <v>0</v>
      </c>
    </row>
    <row r="418" spans="1:17">
      <c r="A418" s="3" t="s">
        <v>448</v>
      </c>
      <c r="B418" s="4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/>
      <c r="P418" s="3">
        <v>42.9</v>
      </c>
      <c r="Q418" t="b">
        <f>COUNTIF($A$2:A418,A418)&gt;1</f>
        <v>0</v>
      </c>
    </row>
    <row r="419" spans="1:17">
      <c r="A419" s="3" t="s">
        <v>449</v>
      </c>
      <c r="B419" s="4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/>
      <c r="P419" s="3">
        <v>69.7</v>
      </c>
      <c r="Q419" t="b">
        <f>COUNTIF($A$2:A419,A419)&gt;1</f>
        <v>0</v>
      </c>
    </row>
    <row r="420" spans="1:17">
      <c r="A420" s="3" t="s">
        <v>450</v>
      </c>
      <c r="B420" s="4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/>
      <c r="P420" s="3">
        <v>63.3</v>
      </c>
      <c r="Q420" t="b">
        <f>COUNTIF($A$2:A420,A420)&gt;1</f>
        <v>0</v>
      </c>
    </row>
    <row r="421" spans="1:17">
      <c r="A421" s="3" t="s">
        <v>451</v>
      </c>
      <c r="B421" s="4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 s="3">
        <v>71.2</v>
      </c>
      <c r="Q421" t="b">
        <f>COUNTIF($A$2:A421,A421)&gt;1</f>
        <v>0</v>
      </c>
    </row>
    <row r="422" spans="1:17">
      <c r="A422" s="3" t="s">
        <v>452</v>
      </c>
      <c r="B422" s="4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 s="3">
        <v>39.1</v>
      </c>
      <c r="Q422" t="b">
        <f>COUNTIF($A$2:A422,A422)&gt;1</f>
        <v>0</v>
      </c>
    </row>
    <row r="423" spans="1:17">
      <c r="A423" s="3" t="s">
        <v>453</v>
      </c>
      <c r="B423" s="4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 s="3">
        <v>42.6</v>
      </c>
      <c r="Q423" t="b">
        <f>COUNTIF($A$2:A423,A423)&gt;1</f>
        <v>0</v>
      </c>
    </row>
    <row r="424" spans="1:17">
      <c r="A424" s="3" t="s">
        <v>454</v>
      </c>
      <c r="B424" s="4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 s="3">
        <v>74.400000000000006</v>
      </c>
      <c r="Q424" t="b">
        <f>COUNTIF($A$2:A424,A424)&gt;1</f>
        <v>0</v>
      </c>
    </row>
    <row r="425" spans="1:17">
      <c r="A425" s="3" t="s">
        <v>455</v>
      </c>
      <c r="B425" s="4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 s="3">
        <v>55.6</v>
      </c>
      <c r="Q425" t="b">
        <f>COUNTIF($A$2:A425,A425)&gt;1</f>
        <v>0</v>
      </c>
    </row>
    <row r="426" spans="1:17">
      <c r="A426" s="3" t="s">
        <v>456</v>
      </c>
      <c r="B426" s="4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 s="3">
        <v>35.799999999999997</v>
      </c>
      <c r="Q426" t="b">
        <f>COUNTIF($A$2:A426,A426)&gt;1</f>
        <v>0</v>
      </c>
    </row>
    <row r="427" spans="1:17">
      <c r="A427" s="3" t="s">
        <v>457</v>
      </c>
      <c r="B427" s="4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1</v>
      </c>
      <c r="N427" s="3">
        <v>0</v>
      </c>
      <c r="O427" s="3"/>
      <c r="P427" s="3">
        <v>28.2</v>
      </c>
      <c r="Q427" t="b">
        <f>COUNTIF($A$2:A427,A427)&gt;1</f>
        <v>0</v>
      </c>
    </row>
    <row r="428" spans="1:17">
      <c r="A428" s="3" t="s">
        <v>458</v>
      </c>
      <c r="B428" s="4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2</v>
      </c>
      <c r="N428" s="3">
        <v>0</v>
      </c>
      <c r="O428" s="3"/>
      <c r="P428" s="3">
        <v>44.4</v>
      </c>
      <c r="Q428" t="b">
        <f>COUNTIF($A$2:A428,A428)&gt;1</f>
        <v>0</v>
      </c>
    </row>
    <row r="429" spans="1:17">
      <c r="A429" s="3" t="s">
        <v>459</v>
      </c>
      <c r="B429" s="4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 s="3">
        <v>49.9</v>
      </c>
      <c r="Q429" t="b">
        <f>COUNTIF($A$2:A429,A429)&gt;1</f>
        <v>0</v>
      </c>
    </row>
    <row r="430" spans="1:17">
      <c r="A430" s="3" t="s">
        <v>460</v>
      </c>
      <c r="B430" s="4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/>
      <c r="P430" s="3">
        <v>40.4</v>
      </c>
      <c r="Q430" t="b">
        <f>COUNTIF($A$2:A430,A430)&gt;1</f>
        <v>0</v>
      </c>
    </row>
    <row r="431" spans="1:17">
      <c r="A431" s="3" t="s">
        <v>461</v>
      </c>
      <c r="B431" s="4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/>
      <c r="P431" s="3">
        <v>60.4</v>
      </c>
      <c r="Q431" t="b">
        <f>COUNTIF($A$2:A431,A431)&gt;1</f>
        <v>0</v>
      </c>
    </row>
    <row r="432" spans="1:17">
      <c r="A432" s="3" t="s">
        <v>462</v>
      </c>
      <c r="B432" s="4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/>
      <c r="P432" s="3">
        <v>52.4</v>
      </c>
      <c r="Q432" t="b">
        <f>COUNTIF($A$2:A432,A432)&gt;1</f>
        <v>0</v>
      </c>
    </row>
    <row r="433" spans="1:17">
      <c r="A433" s="3" t="s">
        <v>463</v>
      </c>
      <c r="B433" s="4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 s="3">
        <v>48.8</v>
      </c>
      <c r="Q433" t="b">
        <f>COUNTIF($A$2:A433,A433)&gt;1</f>
        <v>0</v>
      </c>
    </row>
    <row r="434" spans="1:17">
      <c r="A434" s="3" t="s">
        <v>464</v>
      </c>
      <c r="B434" s="4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 s="3">
        <v>60.9</v>
      </c>
      <c r="Q434" t="b">
        <f>COUNTIF($A$2:A434,A434)&gt;1</f>
        <v>0</v>
      </c>
    </row>
    <row r="435" spans="1:17">
      <c r="A435" s="3" t="s">
        <v>465</v>
      </c>
      <c r="B435" s="4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/>
      <c r="P435" s="3">
        <v>68.2</v>
      </c>
      <c r="Q435" t="b">
        <f>COUNTIF($A$2:A435,A435)&gt;1</f>
        <v>0</v>
      </c>
    </row>
    <row r="436" spans="1:17">
      <c r="A436" s="3" t="s">
        <v>466</v>
      </c>
      <c r="B436" s="4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 s="3">
        <v>65.599999999999994</v>
      </c>
      <c r="Q436" t="b">
        <f>COUNTIF($A$2:A436,A436)&gt;1</f>
        <v>0</v>
      </c>
    </row>
    <row r="437" spans="1:17">
      <c r="A437" s="3" t="s">
        <v>467</v>
      </c>
      <c r="B437" s="4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 s="3">
        <v>65.400000000000006</v>
      </c>
      <c r="Q437" t="b">
        <f>COUNTIF($A$2:A437,A437)&gt;1</f>
        <v>0</v>
      </c>
    </row>
    <row r="438" spans="1:17">
      <c r="A438" s="3" t="s">
        <v>468</v>
      </c>
      <c r="B438" s="4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 s="3">
        <v>78.900000000000006</v>
      </c>
      <c r="Q438" t="b">
        <f>COUNTIF($A$2:A438,A438)&gt;1</f>
        <v>0</v>
      </c>
    </row>
    <row r="439" spans="1:17">
      <c r="A439" s="3" t="s">
        <v>469</v>
      </c>
      <c r="B439" s="4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O439" s="3"/>
      <c r="P439" s="3">
        <v>78.3</v>
      </c>
      <c r="Q439" t="b">
        <f>COUNTIF($A$2:A439,A439)&gt;1</f>
        <v>0</v>
      </c>
    </row>
    <row r="440" spans="1:17">
      <c r="A440" s="3" t="s">
        <v>470</v>
      </c>
      <c r="B440" s="4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 s="3">
        <v>49.2</v>
      </c>
      <c r="Q440" t="b">
        <f>COUNTIF($A$2:A440,A440)&gt;1</f>
        <v>0</v>
      </c>
    </row>
    <row r="441" spans="1:17">
      <c r="A441" s="3" t="s">
        <v>471</v>
      </c>
      <c r="B441" s="4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</v>
      </c>
      <c r="I441" s="3">
        <v>1</v>
      </c>
      <c r="J441" s="3">
        <v>1</v>
      </c>
      <c r="K441" s="3">
        <v>1</v>
      </c>
      <c r="L441" s="3">
        <v>1518.83</v>
      </c>
      <c r="M441" s="3">
        <v>0</v>
      </c>
      <c r="N441" s="3">
        <v>0</v>
      </c>
      <c r="O441" s="3">
        <v>9</v>
      </c>
      <c r="P441" s="3">
        <v>32.200000000000003</v>
      </c>
      <c r="Q441" t="b">
        <f>COUNTIF($A$2:A441,A441)&gt;1</f>
        <v>0</v>
      </c>
    </row>
    <row r="442" spans="1:17">
      <c r="A442" s="3" t="s">
        <v>472</v>
      </c>
      <c r="B442" s="4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</v>
      </c>
      <c r="I442" s="3">
        <v>1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/>
      <c r="P442" s="3">
        <v>46.3</v>
      </c>
      <c r="Q442" t="b">
        <f>COUNTIF($A$2:A442,A442)&gt;1</f>
        <v>0</v>
      </c>
    </row>
    <row r="443" spans="1:17">
      <c r="A443" s="3" t="s">
        <v>473</v>
      </c>
      <c r="B443" s="4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/>
      <c r="P443" s="3">
        <v>55.7</v>
      </c>
      <c r="Q443" t="b">
        <f>COUNTIF($A$2:A443,A443)&gt;1</f>
        <v>0</v>
      </c>
    </row>
    <row r="444" spans="1:17">
      <c r="A444" s="3" t="s">
        <v>474</v>
      </c>
      <c r="B444" s="4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 s="3">
        <v>44.5</v>
      </c>
      <c r="Q444" t="b">
        <f>COUNTIF($A$2:A444,A444)&gt;1</f>
        <v>0</v>
      </c>
    </row>
    <row r="445" spans="1:17">
      <c r="A445" s="3" t="s">
        <v>475</v>
      </c>
      <c r="B445" s="4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</v>
      </c>
      <c r="I445" s="3">
        <v>1</v>
      </c>
      <c r="J445" s="3">
        <v>1</v>
      </c>
      <c r="K445" s="3">
        <v>0</v>
      </c>
      <c r="L445" s="3">
        <v>0</v>
      </c>
      <c r="M445" s="3">
        <v>1</v>
      </c>
      <c r="N445" s="3">
        <v>0</v>
      </c>
      <c r="O445" s="3"/>
      <c r="P445" s="3">
        <v>47.9</v>
      </c>
      <c r="Q445" t="b">
        <f>COUNTIF($A$2:A445,A445)&gt;1</f>
        <v>0</v>
      </c>
    </row>
    <row r="446" spans="1:17">
      <c r="A446" s="3" t="s">
        <v>476</v>
      </c>
      <c r="B446" s="4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/>
      <c r="P446" s="3">
        <v>43.9</v>
      </c>
      <c r="Q446" t="b">
        <f>COUNTIF($A$2:A446,A446)&gt;1</f>
        <v>0</v>
      </c>
    </row>
    <row r="447" spans="1:17">
      <c r="A447" s="3" t="s">
        <v>477</v>
      </c>
      <c r="B447" s="4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1</v>
      </c>
      <c r="N447" s="3">
        <v>0</v>
      </c>
      <c r="O447" s="3"/>
      <c r="P447" s="3">
        <v>67.7</v>
      </c>
      <c r="Q447" t="b">
        <f>COUNTIF($A$2:A447,A447)&gt;1</f>
        <v>0</v>
      </c>
    </row>
    <row r="448" spans="1:17">
      <c r="A448" s="3" t="s">
        <v>478</v>
      </c>
      <c r="B448" s="4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/>
      <c r="P448" s="3">
        <v>43.7</v>
      </c>
      <c r="Q448" t="b">
        <f>COUNTIF($A$2:A448,A448)&gt;1</f>
        <v>0</v>
      </c>
    </row>
    <row r="449" spans="1:17">
      <c r="A449" s="3" t="s">
        <v>479</v>
      </c>
      <c r="B449" s="4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 s="3">
        <v>68.8</v>
      </c>
      <c r="Q449" t="b">
        <f>COUNTIF($A$2:A449,A449)&gt;1</f>
        <v>0</v>
      </c>
    </row>
    <row r="450" spans="1:17">
      <c r="A450" s="3" t="s">
        <v>480</v>
      </c>
      <c r="B450" s="4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0</v>
      </c>
      <c r="O450" s="3"/>
      <c r="P450" s="3">
        <v>59.2</v>
      </c>
      <c r="Q450" t="b">
        <f>COUNTIF($A$2:A450,A450)&gt;1</f>
        <v>0</v>
      </c>
    </row>
    <row r="451" spans="1:17">
      <c r="A451" s="3" t="s">
        <v>481</v>
      </c>
      <c r="B451" s="4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/>
      <c r="P451" s="3">
        <v>48.6</v>
      </c>
      <c r="Q451" t="b">
        <f>COUNTIF($A$2:A451,A451)&gt;1</f>
        <v>0</v>
      </c>
    </row>
    <row r="452" spans="1:17">
      <c r="A452" s="3" t="s">
        <v>482</v>
      </c>
      <c r="B452" s="4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/>
      <c r="P452" s="3">
        <v>56.9</v>
      </c>
      <c r="Q452" t="b">
        <f>COUNTIF($A$2:A452,A452)&gt;1</f>
        <v>0</v>
      </c>
    </row>
    <row r="453" spans="1:17">
      <c r="A453" s="3" t="s">
        <v>483</v>
      </c>
      <c r="B453" s="4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/>
      <c r="P453" s="3">
        <v>55.8</v>
      </c>
      <c r="Q453" t="b">
        <f>COUNTIF($A$2:A453,A453)&gt;1</f>
        <v>0</v>
      </c>
    </row>
    <row r="454" spans="1:17">
      <c r="A454" s="3" t="s">
        <v>484</v>
      </c>
      <c r="B454" s="4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 s="3">
        <v>63.3</v>
      </c>
      <c r="Q454" t="b">
        <f>COUNTIF($A$2:A454,A454)&gt;1</f>
        <v>0</v>
      </c>
    </row>
    <row r="455" spans="1:17">
      <c r="A455" s="3" t="s">
        <v>485</v>
      </c>
      <c r="B455" s="4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 s="3">
        <v>52.2</v>
      </c>
      <c r="Q455" t="b">
        <f>COUNTIF($A$2:A455,A455)&gt;1</f>
        <v>0</v>
      </c>
    </row>
    <row r="456" spans="1:17">
      <c r="A456" s="3" t="s">
        <v>486</v>
      </c>
      <c r="B456" s="4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 s="3">
        <v>51.5</v>
      </c>
      <c r="Q456" t="b">
        <f>COUNTIF($A$2:A456,A456)&gt;1</f>
        <v>0</v>
      </c>
    </row>
    <row r="457" spans="1:17">
      <c r="A457" s="3" t="s">
        <v>487</v>
      </c>
      <c r="B457" s="4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 s="3">
        <v>50.3</v>
      </c>
      <c r="Q457" t="b">
        <f>COUNTIF($A$2:A457,A457)&gt;1</f>
        <v>0</v>
      </c>
    </row>
    <row r="458" spans="1:17">
      <c r="A458" s="3" t="s">
        <v>488</v>
      </c>
      <c r="B458" s="4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1</v>
      </c>
      <c r="N458" s="3">
        <v>0</v>
      </c>
      <c r="O458" s="3"/>
      <c r="P458" s="3">
        <v>35.4</v>
      </c>
      <c r="Q458" t="b">
        <f>COUNTIF($A$2:A458,A458)&gt;1</f>
        <v>0</v>
      </c>
    </row>
    <row r="459" spans="1:17">
      <c r="A459" s="3" t="s">
        <v>489</v>
      </c>
      <c r="B459" s="4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 s="3">
        <v>54.1</v>
      </c>
      <c r="Q459" t="b">
        <f>COUNTIF($A$2:A459,A459)&gt;1</f>
        <v>0</v>
      </c>
    </row>
    <row r="460" spans="1:17">
      <c r="A460" s="3" t="s">
        <v>490</v>
      </c>
      <c r="B460" s="4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/>
      <c r="P460" s="3">
        <v>56.2</v>
      </c>
      <c r="Q460" t="b">
        <f>COUNTIF($A$2:A460,A460)&gt;1</f>
        <v>0</v>
      </c>
    </row>
    <row r="461" spans="1:17">
      <c r="A461" s="3" t="s">
        <v>491</v>
      </c>
      <c r="B461" s="4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3</v>
      </c>
      <c r="N461" s="3">
        <v>0</v>
      </c>
      <c r="O461" s="3"/>
      <c r="P461" s="3">
        <v>43.7</v>
      </c>
      <c r="Q461" t="b">
        <f>COUNTIF($A$2:A461,A461)&gt;1</f>
        <v>0</v>
      </c>
    </row>
    <row r="462" spans="1:17">
      <c r="A462" s="3" t="s">
        <v>492</v>
      </c>
      <c r="B462" s="4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/>
      <c r="P462" s="3">
        <v>51.3</v>
      </c>
      <c r="Q462" t="b">
        <f>COUNTIF($A$2:A462,A462)&gt;1</f>
        <v>0</v>
      </c>
    </row>
    <row r="463" spans="1:17">
      <c r="A463" s="3" t="s">
        <v>493</v>
      </c>
      <c r="B463" s="4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 s="3">
        <v>50.5</v>
      </c>
      <c r="Q463" t="b">
        <f>COUNTIF($A$2:A463,A463)&gt;1</f>
        <v>0</v>
      </c>
    </row>
    <row r="464" spans="1:17">
      <c r="A464" s="3" t="s">
        <v>494</v>
      </c>
      <c r="B464" s="4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 s="3">
        <v>57.3</v>
      </c>
      <c r="Q464" t="b">
        <f>COUNTIF($A$2:A464,A464)&gt;1</f>
        <v>0</v>
      </c>
    </row>
    <row r="465" spans="1:17">
      <c r="A465" s="3" t="s">
        <v>495</v>
      </c>
      <c r="B465" s="4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/>
      <c r="P465" s="3">
        <v>58.4</v>
      </c>
      <c r="Q465" t="b">
        <f>COUNTIF($A$2:A465,A465)&gt;1</f>
        <v>0</v>
      </c>
    </row>
    <row r="466" spans="1:17">
      <c r="A466" s="3" t="s">
        <v>496</v>
      </c>
      <c r="B466" s="4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/>
      <c r="P466" s="3">
        <v>56.5</v>
      </c>
      <c r="Q466" t="b">
        <f>COUNTIF($A$2:A466,A466)&gt;1</f>
        <v>0</v>
      </c>
    </row>
    <row r="467" spans="1:17">
      <c r="A467" s="3" t="s">
        <v>497</v>
      </c>
      <c r="B467" s="4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 s="3">
        <v>69.599999999999994</v>
      </c>
      <c r="Q467" t="b">
        <f>COUNTIF($A$2:A467,A467)&gt;1</f>
        <v>0</v>
      </c>
    </row>
    <row r="468" spans="1:17">
      <c r="A468" s="3" t="s">
        <v>498</v>
      </c>
      <c r="B468" s="4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 s="3">
        <v>6.2</v>
      </c>
      <c r="Q468" t="b">
        <f>COUNTIF($A$2:A468,A468)&gt;1</f>
        <v>0</v>
      </c>
    </row>
    <row r="469" spans="1:17">
      <c r="A469" s="3" t="s">
        <v>499</v>
      </c>
      <c r="B469" s="4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O469" s="3"/>
      <c r="P469" s="3">
        <v>54.3</v>
      </c>
      <c r="Q469" t="b">
        <f>COUNTIF($A$2:A469,A469)&gt;1</f>
        <v>0</v>
      </c>
    </row>
    <row r="470" spans="1:17">
      <c r="A470" s="3" t="s">
        <v>500</v>
      </c>
      <c r="B470" s="4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/>
      <c r="P470" s="3">
        <v>59.8</v>
      </c>
      <c r="Q470" t="b">
        <f>COUNTIF($A$2:A470,A470)&gt;1</f>
        <v>0</v>
      </c>
    </row>
    <row r="471" spans="1:17">
      <c r="A471" s="3" t="s">
        <v>501</v>
      </c>
      <c r="B471" s="4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 s="3">
        <v>58.9</v>
      </c>
      <c r="Q471" t="b">
        <f>COUNTIF($A$2:A471,A471)&gt;1</f>
        <v>0</v>
      </c>
    </row>
    <row r="472" spans="1:17">
      <c r="A472" s="3" t="s">
        <v>502</v>
      </c>
      <c r="B472" s="4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0</v>
      </c>
      <c r="O472" s="3"/>
      <c r="P472" s="3">
        <v>52.9</v>
      </c>
      <c r="Q472" t="b">
        <f>COUNTIF($A$2:A472,A472)&gt;1</f>
        <v>0</v>
      </c>
    </row>
    <row r="473" spans="1:17">
      <c r="A473" s="3" t="s">
        <v>503</v>
      </c>
      <c r="B473" s="4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/>
      <c r="P473" s="3">
        <v>67.8</v>
      </c>
      <c r="Q473" t="b">
        <f>COUNTIF($A$2:A473,A473)&gt;1</f>
        <v>0</v>
      </c>
    </row>
    <row r="474" spans="1:17">
      <c r="A474" s="3" t="s">
        <v>504</v>
      </c>
      <c r="B474" s="4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 s="3">
        <v>48.7</v>
      </c>
      <c r="Q474" t="b">
        <f>COUNTIF($A$2:A474,A474)&gt;1</f>
        <v>0</v>
      </c>
    </row>
    <row r="475" spans="1:17">
      <c r="A475" s="3" t="s">
        <v>505</v>
      </c>
      <c r="B475" s="4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 s="3">
        <v>59</v>
      </c>
      <c r="Q475" t="b">
        <f>COUNTIF($A$2:A475,A475)&gt;1</f>
        <v>0</v>
      </c>
    </row>
    <row r="476" spans="1:17">
      <c r="A476" s="3" t="s">
        <v>506</v>
      </c>
      <c r="B476" s="4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 s="3">
        <v>63.2</v>
      </c>
      <c r="Q476" t="b">
        <f>COUNTIF($A$2:A476,A476)&gt;1</f>
        <v>0</v>
      </c>
    </row>
    <row r="477" spans="1:17">
      <c r="A477" s="3" t="s">
        <v>507</v>
      </c>
      <c r="B477" s="4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 s="3">
        <v>68.7</v>
      </c>
      <c r="Q477" t="b">
        <f>COUNTIF($A$2:A477,A477)&gt;1</f>
        <v>0</v>
      </c>
    </row>
    <row r="478" spans="1:17">
      <c r="A478" s="3" t="s">
        <v>508</v>
      </c>
      <c r="B478" s="4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 s="3">
        <v>52.1</v>
      </c>
      <c r="Q478" t="b">
        <f>COUNTIF($A$2:A478,A478)&gt;1</f>
        <v>0</v>
      </c>
    </row>
    <row r="479" spans="1:17">
      <c r="A479" s="3" t="s">
        <v>509</v>
      </c>
      <c r="B479" s="4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 s="3">
        <v>56.5</v>
      </c>
      <c r="Q479" t="b">
        <f>COUNTIF($A$2:A479,A479)&gt;1</f>
        <v>0</v>
      </c>
    </row>
    <row r="480" spans="1:17">
      <c r="A480" s="3" t="s">
        <v>510</v>
      </c>
      <c r="B480" s="4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 s="3">
        <v>64.400000000000006</v>
      </c>
      <c r="Q480" t="b">
        <f>COUNTIF($A$2:A480,A480)&gt;1</f>
        <v>0</v>
      </c>
    </row>
    <row r="481" spans="1:17">
      <c r="A481" s="3" t="s">
        <v>511</v>
      </c>
      <c r="B481" s="4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 s="3">
        <v>65.900000000000006</v>
      </c>
      <c r="Q481" t="b">
        <f>COUNTIF($A$2:A481,A481)&gt;1</f>
        <v>0</v>
      </c>
    </row>
    <row r="482" spans="1:17">
      <c r="A482" s="3" t="s">
        <v>512</v>
      </c>
      <c r="B482" s="4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/>
      <c r="P482" s="3">
        <v>100</v>
      </c>
      <c r="Q482" t="b">
        <f>COUNTIF($A$2:A482,A482)&gt;1</f>
        <v>0</v>
      </c>
    </row>
    <row r="483" spans="1:17">
      <c r="A483" s="3" t="s">
        <v>513</v>
      </c>
      <c r="B483" s="4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 s="3">
        <v>50.4</v>
      </c>
      <c r="Q483" t="b">
        <f>COUNTIF($A$2:A483,A483)&gt;1</f>
        <v>0</v>
      </c>
    </row>
    <row r="484" spans="1:17">
      <c r="A484" s="3" t="s">
        <v>514</v>
      </c>
      <c r="B484" s="4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/>
      <c r="P484" s="3">
        <v>41.5</v>
      </c>
      <c r="Q484" t="b">
        <f>COUNTIF($A$2:A484,A484)&gt;1</f>
        <v>0</v>
      </c>
    </row>
    <row r="485" spans="1:17">
      <c r="A485" s="3" t="s">
        <v>515</v>
      </c>
      <c r="B485" s="4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 s="3">
        <v>86.2</v>
      </c>
      <c r="Q485" t="b">
        <f>COUNTIF($A$2:A485,A485)&gt;1</f>
        <v>0</v>
      </c>
    </row>
    <row r="486" spans="1:17">
      <c r="A486" s="3" t="s">
        <v>516</v>
      </c>
      <c r="B486" s="4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2</v>
      </c>
      <c r="N486" s="3">
        <v>0</v>
      </c>
      <c r="O486" s="3"/>
      <c r="P486" s="3">
        <v>50.8</v>
      </c>
      <c r="Q486" t="b">
        <f>COUNTIF($A$2:A486,A486)&gt;1</f>
        <v>0</v>
      </c>
    </row>
    <row r="487" spans="1:17">
      <c r="A487" s="3" t="s">
        <v>517</v>
      </c>
      <c r="B487" s="4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/>
      <c r="P487" s="3">
        <v>50.9</v>
      </c>
      <c r="Q487" t="b">
        <f>COUNTIF($A$2:A487,A487)&gt;1</f>
        <v>0</v>
      </c>
    </row>
    <row r="488" spans="1:17">
      <c r="A488" s="3" t="s">
        <v>518</v>
      </c>
      <c r="B488" s="4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 s="3">
        <v>87.5</v>
      </c>
      <c r="Q488" t="b">
        <f>COUNTIF($A$2:A488,A488)&gt;1</f>
        <v>0</v>
      </c>
    </row>
    <row r="489" spans="1:17">
      <c r="A489" s="3" t="s">
        <v>519</v>
      </c>
      <c r="B489" s="4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 s="3">
        <v>43.6</v>
      </c>
      <c r="Q489" t="b">
        <f>COUNTIF($A$2:A489,A489)&gt;1</f>
        <v>0</v>
      </c>
    </row>
    <row r="490" spans="1:17">
      <c r="A490" s="3" t="s">
        <v>520</v>
      </c>
      <c r="B490" s="4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 s="3">
        <v>55.5</v>
      </c>
      <c r="Q490" t="b">
        <f>COUNTIF($A$2:A490,A490)&gt;1</f>
        <v>0</v>
      </c>
    </row>
    <row r="491" spans="1:17">
      <c r="A491" s="3" t="s">
        <v>521</v>
      </c>
      <c r="B491" s="4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 s="3">
        <v>78.599999999999994</v>
      </c>
      <c r="Q491" t="b">
        <f>COUNTIF($A$2:A491,A491)&gt;1</f>
        <v>0</v>
      </c>
    </row>
    <row r="492" spans="1:17">
      <c r="A492" s="3" t="s">
        <v>522</v>
      </c>
      <c r="B492" s="4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/>
      <c r="P492" s="3">
        <v>44.3</v>
      </c>
      <c r="Q492" t="b">
        <f>COUNTIF($A$2:A492,A492)&gt;1</f>
        <v>0</v>
      </c>
    </row>
    <row r="493" spans="1:17">
      <c r="A493" s="3" t="s">
        <v>523</v>
      </c>
      <c r="B493" s="4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/>
      <c r="P493" s="3">
        <v>45.2</v>
      </c>
      <c r="Q493" t="b">
        <f>COUNTIF($A$2:A493,A493)&gt;1</f>
        <v>0</v>
      </c>
    </row>
    <row r="494" spans="1:17">
      <c r="A494" s="3" t="s">
        <v>524</v>
      </c>
      <c r="B494" s="4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2</v>
      </c>
      <c r="N494" s="3">
        <v>0</v>
      </c>
      <c r="O494" s="3"/>
      <c r="P494" s="3">
        <v>46.1</v>
      </c>
      <c r="Q494" t="b">
        <f>COUNTIF($A$2:A494,A494)&gt;1</f>
        <v>0</v>
      </c>
    </row>
    <row r="495" spans="1:17">
      <c r="A495" s="3" t="s">
        <v>525</v>
      </c>
      <c r="B495" s="4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/>
      <c r="P495" s="3">
        <v>49.6</v>
      </c>
      <c r="Q495" t="b">
        <f>COUNTIF($A$2:A495,A495)&gt;1</f>
        <v>0</v>
      </c>
    </row>
    <row r="496" spans="1:17">
      <c r="A496" s="3" t="s">
        <v>526</v>
      </c>
      <c r="B496" s="4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 s="3">
        <v>70.5</v>
      </c>
      <c r="Q496" t="b">
        <f>COUNTIF($A$2:A496,A496)&gt;1</f>
        <v>0</v>
      </c>
    </row>
    <row r="497" spans="1:17">
      <c r="A497" s="3" t="s">
        <v>527</v>
      </c>
      <c r="B497" s="4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1</v>
      </c>
      <c r="N497" s="3">
        <v>0</v>
      </c>
      <c r="O497" s="3"/>
      <c r="P497" s="3">
        <v>60.8</v>
      </c>
      <c r="Q497" t="b">
        <f>COUNTIF($A$2:A497,A497)&gt;1</f>
        <v>0</v>
      </c>
    </row>
    <row r="498" spans="1:17">
      <c r="A498" s="3" t="s">
        <v>528</v>
      </c>
      <c r="B498" s="4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 s="3">
        <v>50.5</v>
      </c>
      <c r="Q498" t="b">
        <f>COUNTIF($A$2:A498,A498)&gt;1</f>
        <v>0</v>
      </c>
    </row>
    <row r="499" spans="1:17">
      <c r="A499" s="3" t="s">
        <v>529</v>
      </c>
      <c r="B499" s="4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/>
      <c r="P499" s="3">
        <v>54.9</v>
      </c>
      <c r="Q499" t="b">
        <f>COUNTIF($A$2:A499,A499)&gt;1</f>
        <v>0</v>
      </c>
    </row>
    <row r="500" spans="1:17">
      <c r="A500" s="3" t="s">
        <v>530</v>
      </c>
      <c r="B500" s="4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 s="3">
        <v>29.9</v>
      </c>
      <c r="Q500" t="b">
        <f>COUNTIF($A$2:A500,A500)&gt;1</f>
        <v>0</v>
      </c>
    </row>
    <row r="501" spans="1:17">
      <c r="A501" s="3" t="s">
        <v>531</v>
      </c>
      <c r="B501" s="4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 s="3">
        <v>48.3</v>
      </c>
      <c r="Q501" t="b">
        <f>COUNTIF($A$2:A501,A501)&gt;1</f>
        <v>0</v>
      </c>
    </row>
    <row r="502" spans="1:17">
      <c r="A502" s="3" t="s">
        <v>532</v>
      </c>
      <c r="B502" s="4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</v>
      </c>
      <c r="I502" s="3">
        <v>1</v>
      </c>
      <c r="J502" s="3">
        <v>1</v>
      </c>
      <c r="K502" s="3">
        <v>1</v>
      </c>
      <c r="L502" s="3">
        <v>513.61</v>
      </c>
      <c r="M502" s="3">
        <v>0</v>
      </c>
      <c r="N502" s="3">
        <v>0</v>
      </c>
      <c r="O502" s="3">
        <v>7</v>
      </c>
      <c r="P502" s="3">
        <v>41.3</v>
      </c>
      <c r="Q502" t="b">
        <f>COUNTIF($A$2:A502,A502)&gt;1</f>
        <v>0</v>
      </c>
    </row>
    <row r="503" spans="1:17">
      <c r="A503" s="3" t="s">
        <v>533</v>
      </c>
      <c r="B503" s="4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 s="3">
        <v>61.4</v>
      </c>
      <c r="Q503" t="b">
        <f>COUNTIF($A$2:A503,A503)&gt;1</f>
        <v>0</v>
      </c>
    </row>
    <row r="504" spans="1:17">
      <c r="A504" s="3" t="s">
        <v>534</v>
      </c>
      <c r="B504" s="4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 s="3">
        <v>57.8</v>
      </c>
      <c r="Q504" t="b">
        <f>COUNTIF($A$2:A504,A504)&gt;1</f>
        <v>0</v>
      </c>
    </row>
    <row r="505" spans="1:17">
      <c r="A505" s="3" t="s">
        <v>535</v>
      </c>
      <c r="B505" s="4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 s="3">
        <v>78.2</v>
      </c>
      <c r="Q505" t="b">
        <f>COUNTIF($A$2:A505,A505)&gt;1</f>
        <v>0</v>
      </c>
    </row>
    <row r="506" spans="1:17">
      <c r="A506" s="3" t="s">
        <v>536</v>
      </c>
      <c r="B506" s="4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 s="3">
        <v>63.8</v>
      </c>
      <c r="Q506" t="b">
        <f>COUNTIF($A$2:A506,A506)&gt;1</f>
        <v>0</v>
      </c>
    </row>
    <row r="507" spans="1:17">
      <c r="A507" s="3" t="s">
        <v>537</v>
      </c>
      <c r="B507" s="4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 s="3">
        <v>56.8</v>
      </c>
      <c r="Q507" t="b">
        <f>COUNTIF($A$2:A507,A507)&gt;1</f>
        <v>0</v>
      </c>
    </row>
    <row r="508" spans="1:17">
      <c r="A508" s="3" t="s">
        <v>538</v>
      </c>
      <c r="B508" s="4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 s="3">
        <v>59.6</v>
      </c>
      <c r="Q508" t="b">
        <f>COUNTIF($A$2:A508,A508)&gt;1</f>
        <v>0</v>
      </c>
    </row>
    <row r="509" spans="1:17">
      <c r="A509" s="3" t="s">
        <v>539</v>
      </c>
      <c r="B509" s="4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 s="3">
        <v>50</v>
      </c>
      <c r="Q509" t="b">
        <f>COUNTIF($A$2:A509,A509)&gt;1</f>
        <v>0</v>
      </c>
    </row>
    <row r="510" spans="1:17">
      <c r="A510" s="3" t="s">
        <v>540</v>
      </c>
      <c r="B510" s="4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 s="3">
        <v>35.700000000000003</v>
      </c>
      <c r="Q510" t="b">
        <f>COUNTIF($A$2:A510,A510)&gt;1</f>
        <v>0</v>
      </c>
    </row>
    <row r="511" spans="1:17">
      <c r="A511" s="3" t="s">
        <v>541</v>
      </c>
      <c r="B511" s="4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 s="3">
        <v>47.2</v>
      </c>
      <c r="Q511" t="b">
        <f>COUNTIF($A$2:A511,A511)&gt;1</f>
        <v>0</v>
      </c>
    </row>
    <row r="512" spans="1:17">
      <c r="A512" s="3" t="s">
        <v>542</v>
      </c>
      <c r="B512" s="4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 s="3">
        <v>56.9</v>
      </c>
      <c r="Q512" t="b">
        <f>COUNTIF($A$2:A512,A512)&gt;1</f>
        <v>0</v>
      </c>
    </row>
    <row r="513" spans="1:17">
      <c r="A513" s="3" t="s">
        <v>543</v>
      </c>
      <c r="B513" s="4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 s="3">
        <v>57.2</v>
      </c>
      <c r="Q513" t="b">
        <f>COUNTIF($A$2:A513,A513)&gt;1</f>
        <v>0</v>
      </c>
    </row>
    <row r="514" spans="1:17">
      <c r="A514" s="3" t="s">
        <v>544</v>
      </c>
      <c r="B514" s="4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 s="3">
        <v>31.4</v>
      </c>
      <c r="Q514" t="b">
        <f>COUNTIF($A$2:A514,A514)&gt;1</f>
        <v>0</v>
      </c>
    </row>
    <row r="515" spans="1:17">
      <c r="A515" s="3" t="s">
        <v>545</v>
      </c>
      <c r="B515" s="4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 s="3">
        <v>71.2</v>
      </c>
      <c r="Q515" t="b">
        <f>COUNTIF($A$2:A515,A515)&gt;1</f>
        <v>0</v>
      </c>
    </row>
    <row r="516" spans="1:17">
      <c r="A516" s="3" t="s">
        <v>546</v>
      </c>
      <c r="B516" s="4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 s="3">
        <v>38.299999999999997</v>
      </c>
      <c r="Q516" t="b">
        <f>COUNTIF($A$2:A516,A516)&gt;1</f>
        <v>0</v>
      </c>
    </row>
    <row r="517" spans="1:17">
      <c r="A517" s="3" t="s">
        <v>547</v>
      </c>
      <c r="B517" s="4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 s="3">
        <v>63.1</v>
      </c>
      <c r="Q517" t="b">
        <f>COUNTIF($A$2:A517,A517)&gt;1</f>
        <v>0</v>
      </c>
    </row>
    <row r="518" spans="1:17">
      <c r="A518" s="3" t="s">
        <v>548</v>
      </c>
      <c r="B518" s="4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 s="3">
        <v>59.7</v>
      </c>
      <c r="Q518" t="b">
        <f>COUNTIF($A$2:A518,A518)&gt;1</f>
        <v>0</v>
      </c>
    </row>
    <row r="519" spans="1:17">
      <c r="A519" s="3" t="s">
        <v>549</v>
      </c>
      <c r="B519" s="4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 s="3">
        <v>59.5</v>
      </c>
      <c r="Q519" t="b">
        <f>COUNTIF($A$2:A519,A519)&gt;1</f>
        <v>0</v>
      </c>
    </row>
    <row r="520" spans="1:17">
      <c r="A520" s="3" t="s">
        <v>550</v>
      </c>
      <c r="B520" s="4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 s="3">
        <v>78.8</v>
      </c>
      <c r="Q520" t="b">
        <f>COUNTIF($A$2:A520,A520)&gt;1</f>
        <v>0</v>
      </c>
    </row>
    <row r="521" spans="1:17">
      <c r="A521" s="3" t="s">
        <v>551</v>
      </c>
      <c r="B521" s="4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 s="3">
        <v>54</v>
      </c>
      <c r="Q521" t="b">
        <f>COUNTIF($A$2:A521,A521)&gt;1</f>
        <v>0</v>
      </c>
    </row>
    <row r="522" spans="1:17">
      <c r="A522" s="3" t="s">
        <v>552</v>
      </c>
      <c r="B522" s="4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 s="3">
        <v>66.3</v>
      </c>
      <c r="Q522" t="b">
        <f>COUNTIF($A$2:A522,A522)&gt;1</f>
        <v>0</v>
      </c>
    </row>
    <row r="523" spans="1:17">
      <c r="A523" s="3" t="s">
        <v>553</v>
      </c>
      <c r="B523" s="4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 s="3">
        <v>54.7</v>
      </c>
      <c r="Q523" t="b">
        <f>COUNTIF($A$2:A523,A523)&gt;1</f>
        <v>0</v>
      </c>
    </row>
    <row r="524" spans="1:17">
      <c r="A524" s="3" t="s">
        <v>554</v>
      </c>
      <c r="B524" s="4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 s="3">
        <v>76.7</v>
      </c>
      <c r="Q524" t="b">
        <f>COUNTIF($A$2:A524,A524)&gt;1</f>
        <v>0</v>
      </c>
    </row>
    <row r="525" spans="1:17">
      <c r="A525" s="3" t="s">
        <v>555</v>
      </c>
      <c r="B525" s="4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 s="3">
        <v>47.4</v>
      </c>
      <c r="Q525" t="b">
        <f>COUNTIF($A$2:A525,A525)&gt;1</f>
        <v>0</v>
      </c>
    </row>
    <row r="526" spans="1:17">
      <c r="A526" s="3" t="s">
        <v>556</v>
      </c>
      <c r="B526" s="4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 s="3">
        <v>81.7</v>
      </c>
      <c r="Q526" t="b">
        <f>COUNTIF($A$2:A526,A526)&gt;1</f>
        <v>0</v>
      </c>
    </row>
    <row r="527" spans="1:17">
      <c r="A527" s="3" t="s">
        <v>557</v>
      </c>
      <c r="B527" s="4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 s="3">
        <v>67.5</v>
      </c>
      <c r="Q527" t="b">
        <f>COUNTIF($A$2:A527,A527)&gt;1</f>
        <v>0</v>
      </c>
    </row>
    <row r="528" spans="1:17">
      <c r="A528" s="3" t="s">
        <v>558</v>
      </c>
      <c r="B528" s="4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 s="3">
        <v>36.799999999999997</v>
      </c>
      <c r="Q528" t="b">
        <f>COUNTIF($A$2:A528,A528)&gt;1</f>
        <v>0</v>
      </c>
    </row>
    <row r="529" spans="1:17">
      <c r="A529" s="3" t="s">
        <v>559</v>
      </c>
      <c r="B529" s="4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 s="3">
        <v>66.5</v>
      </c>
      <c r="Q529" t="b">
        <f>COUNTIF($A$2:A529,A529)&gt;1</f>
        <v>0</v>
      </c>
    </row>
    <row r="530" spans="1:17">
      <c r="A530" s="3" t="s">
        <v>560</v>
      </c>
      <c r="B530" s="4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 s="3">
        <v>35.4</v>
      </c>
      <c r="Q530" t="b">
        <f>COUNTIF($A$2:A530,A530)&gt;1</f>
        <v>0</v>
      </c>
    </row>
    <row r="531" spans="1:17">
      <c r="A531" s="3" t="s">
        <v>561</v>
      </c>
      <c r="B531" s="4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 s="3">
        <v>64.3</v>
      </c>
      <c r="Q531" t="b">
        <f>COUNTIF($A$2:A531,A531)&gt;1</f>
        <v>0</v>
      </c>
    </row>
    <row r="532" spans="1:17">
      <c r="A532" s="3" t="s">
        <v>562</v>
      </c>
      <c r="B532" s="4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 s="3">
        <v>49.1</v>
      </c>
      <c r="Q532" t="b">
        <f>COUNTIF($A$2:A532,A532)&gt;1</f>
        <v>0</v>
      </c>
    </row>
    <row r="533" spans="1:17">
      <c r="A533" s="3" t="s">
        <v>563</v>
      </c>
      <c r="B533" s="4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 s="3">
        <v>84.3</v>
      </c>
      <c r="Q533" t="b">
        <f>COUNTIF($A$2:A533,A533)&gt;1</f>
        <v>0</v>
      </c>
    </row>
    <row r="534" spans="1:17">
      <c r="A534" s="3" t="s">
        <v>564</v>
      </c>
      <c r="B534" s="4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 s="3">
        <v>65.599999999999994</v>
      </c>
      <c r="Q534" t="b">
        <f>COUNTIF($A$2:A534,A534)&gt;1</f>
        <v>0</v>
      </c>
    </row>
    <row r="535" spans="1:17">
      <c r="A535" s="3" t="s">
        <v>565</v>
      </c>
      <c r="B535" s="4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 s="3">
        <v>47.1</v>
      </c>
      <c r="Q535" t="b">
        <f>COUNTIF($A$2:A535,A535)&gt;1</f>
        <v>0</v>
      </c>
    </row>
    <row r="536" spans="1:17">
      <c r="A536" s="3" t="s">
        <v>566</v>
      </c>
      <c r="B536" s="4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 s="3">
        <v>70</v>
      </c>
      <c r="Q536" t="b">
        <f>COUNTIF($A$2:A536,A536)&gt;1</f>
        <v>0</v>
      </c>
    </row>
    <row r="537" spans="1:17">
      <c r="A537" s="3" t="s">
        <v>567</v>
      </c>
      <c r="B537" s="4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 s="3">
        <v>54.6</v>
      </c>
      <c r="Q537" t="b">
        <f>COUNTIF($A$2:A537,A537)&gt;1</f>
        <v>0</v>
      </c>
    </row>
    <row r="538" spans="1:17">
      <c r="A538" s="3" t="s">
        <v>568</v>
      </c>
      <c r="B538" s="4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 s="3">
        <v>65.2</v>
      </c>
      <c r="Q538" t="b">
        <f>COUNTIF($A$2:A538,A538)&gt;1</f>
        <v>0</v>
      </c>
    </row>
    <row r="539" spans="1:17">
      <c r="A539" s="3" t="s">
        <v>569</v>
      </c>
      <c r="B539" s="4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 s="3">
        <v>65</v>
      </c>
      <c r="Q539" t="b">
        <f>COUNTIF($A$2:A539,A539)&gt;1</f>
        <v>0</v>
      </c>
    </row>
    <row r="540" spans="1:17">
      <c r="A540" s="3" t="s">
        <v>570</v>
      </c>
      <c r="B540" s="4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 s="3">
        <v>42.1</v>
      </c>
      <c r="Q540" t="b">
        <f>COUNTIF($A$2:A540,A540)&gt;1</f>
        <v>0</v>
      </c>
    </row>
    <row r="541" spans="1:17">
      <c r="A541" s="3" t="s">
        <v>571</v>
      </c>
      <c r="B541" s="4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 s="3">
        <v>43.4</v>
      </c>
      <c r="Q541" t="b">
        <f>COUNTIF($A$2:A541,A541)&gt;1</f>
        <v>0</v>
      </c>
    </row>
    <row r="542" spans="1:17">
      <c r="A542" s="3" t="s">
        <v>572</v>
      </c>
      <c r="B542" s="4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 s="3">
        <v>39.9</v>
      </c>
      <c r="Q542" t="b">
        <f>COUNTIF($A$2:A542,A542)&gt;1</f>
        <v>0</v>
      </c>
    </row>
    <row r="543" spans="1:17">
      <c r="A543" s="3" t="s">
        <v>573</v>
      </c>
      <c r="B543" s="4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 s="3">
        <v>74.099999999999994</v>
      </c>
      <c r="Q543" t="b">
        <f>COUNTIF($A$2:A543,A543)&gt;1</f>
        <v>0</v>
      </c>
    </row>
    <row r="544" spans="1:17">
      <c r="A544" s="3" t="s">
        <v>574</v>
      </c>
      <c r="B544" s="4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/>
      <c r="P544" s="3">
        <v>61.4</v>
      </c>
      <c r="Q544" t="b">
        <f>COUNTIF($A$2:A544,A544)&gt;1</f>
        <v>0</v>
      </c>
    </row>
    <row r="545" spans="1:17">
      <c r="A545" s="3" t="s">
        <v>575</v>
      </c>
      <c r="B545" s="4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/>
      <c r="P545" s="3">
        <v>76.8</v>
      </c>
      <c r="Q545" t="b">
        <f>COUNTIF($A$2:A545,A545)&gt;1</f>
        <v>0</v>
      </c>
    </row>
    <row r="546" spans="1:17">
      <c r="A546" s="3" t="s">
        <v>576</v>
      </c>
      <c r="B546" s="4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/>
      <c r="P546" s="3"/>
      <c r="Q546" t="b">
        <f>COUNTIF($A$2:A546,A546)&gt;1</f>
        <v>0</v>
      </c>
    </row>
    <row r="547" spans="1:17">
      <c r="A547" s="3" t="s">
        <v>577</v>
      </c>
      <c r="B547" s="4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/>
      <c r="P547" s="3">
        <v>45.3</v>
      </c>
      <c r="Q547" t="b">
        <f>COUNTIF($A$2:A547,A547)&gt;1</f>
        <v>0</v>
      </c>
    </row>
    <row r="548" spans="1:17">
      <c r="A548" s="3" t="s">
        <v>578</v>
      </c>
      <c r="B548" s="4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 s="3">
        <v>41.4</v>
      </c>
      <c r="Q548" t="b">
        <f>COUNTIF($A$2:A548,A548)&gt;1</f>
        <v>0</v>
      </c>
    </row>
    <row r="549" spans="1:17">
      <c r="A549" s="3" t="s">
        <v>579</v>
      </c>
      <c r="B549" s="4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 s="3">
        <v>37.1</v>
      </c>
      <c r="Q549" t="b">
        <f>COUNTIF($A$2:A549,A549)&gt;1</f>
        <v>0</v>
      </c>
    </row>
    <row r="550" spans="1:17">
      <c r="A550" s="3" t="s">
        <v>580</v>
      </c>
      <c r="B550" s="4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/>
      <c r="P550" s="3">
        <v>40.700000000000003</v>
      </c>
      <c r="Q550" t="b">
        <f>COUNTIF($A$2:A550,A550)&gt;1</f>
        <v>0</v>
      </c>
    </row>
    <row r="551" spans="1:17">
      <c r="A551" s="3" t="s">
        <v>581</v>
      </c>
      <c r="B551" s="4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/>
      <c r="P551" s="3">
        <v>55.9</v>
      </c>
      <c r="Q551" t="b">
        <f>COUNTIF($A$2:A551,A551)&gt;1</f>
        <v>0</v>
      </c>
    </row>
    <row r="552" spans="1:17">
      <c r="A552" s="3" t="s">
        <v>582</v>
      </c>
      <c r="B552" s="4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>
        <v>1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 s="3">
        <v>55.8</v>
      </c>
      <c r="Q552" t="b">
        <f>COUNTIF($A$2:A552,A552)&gt;1</f>
        <v>0</v>
      </c>
    </row>
    <row r="553" spans="1:17">
      <c r="A553" s="3" t="s">
        <v>583</v>
      </c>
      <c r="B553" s="4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 s="3">
        <v>64.3</v>
      </c>
      <c r="Q553" t="b">
        <f>COUNTIF($A$2:A553,A553)&gt;1</f>
        <v>0</v>
      </c>
    </row>
    <row r="554" spans="1:17">
      <c r="A554" s="3" t="s">
        <v>584</v>
      </c>
      <c r="B554" s="4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 s="3">
        <v>65.400000000000006</v>
      </c>
      <c r="Q554" t="b">
        <f>COUNTIF($A$2:A554,A554)&gt;1</f>
        <v>0</v>
      </c>
    </row>
    <row r="555" spans="1:17">
      <c r="A555" s="3" t="s">
        <v>585</v>
      </c>
      <c r="B555" s="4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/>
      <c r="P555" s="3">
        <v>89.8</v>
      </c>
      <c r="Q555" t="b">
        <f>COUNTIF($A$2:A555,A555)&gt;1</f>
        <v>0</v>
      </c>
    </row>
    <row r="556" spans="1:17">
      <c r="A556" s="3" t="s">
        <v>586</v>
      </c>
      <c r="B556" s="4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0</v>
      </c>
      <c r="O556" s="3"/>
      <c r="P556" s="3">
        <v>58.3</v>
      </c>
      <c r="Q556" t="b">
        <f>COUNTIF($A$2:A556,A556)&gt;1</f>
        <v>0</v>
      </c>
    </row>
    <row r="557" spans="1:17">
      <c r="A557" s="3" t="s">
        <v>587</v>
      </c>
      <c r="B557" s="4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 s="3">
        <v>64.400000000000006</v>
      </c>
      <c r="Q557" t="b">
        <f>COUNTIF($A$2:A557,A557)&gt;1</f>
        <v>0</v>
      </c>
    </row>
    <row r="558" spans="1:17">
      <c r="A558" s="3" t="s">
        <v>588</v>
      </c>
      <c r="B558" s="4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 s="3">
        <v>46.2</v>
      </c>
      <c r="Q558" t="b">
        <f>COUNTIF($A$2:A558,A558)&gt;1</f>
        <v>0</v>
      </c>
    </row>
    <row r="559" spans="1:17">
      <c r="A559" s="3" t="s">
        <v>589</v>
      </c>
      <c r="B559" s="4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 s="3">
        <v>78</v>
      </c>
      <c r="Q559" t="b">
        <f>COUNTIF($A$2:A559,A559)&gt;1</f>
        <v>0</v>
      </c>
    </row>
    <row r="560" spans="1:17">
      <c r="A560" s="3" t="s">
        <v>590</v>
      </c>
      <c r="B560" s="4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 s="3">
        <v>62.3</v>
      </c>
      <c r="Q560" t="b">
        <f>COUNTIF($A$2:A560,A560)&gt;1</f>
        <v>0</v>
      </c>
    </row>
    <row r="561" spans="1:17">
      <c r="A561" s="3" t="s">
        <v>591</v>
      </c>
      <c r="B561" s="4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 s="3">
        <v>78.8</v>
      </c>
      <c r="Q561" t="b">
        <f>COUNTIF($A$2:A561,A561)&gt;1</f>
        <v>0</v>
      </c>
    </row>
    <row r="562" spans="1:17">
      <c r="A562" s="3" t="s">
        <v>592</v>
      </c>
      <c r="B562" s="4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 s="3">
        <v>25</v>
      </c>
      <c r="Q562" t="b">
        <f>COUNTIF($A$2:A562,A562)&gt;1</f>
        <v>0</v>
      </c>
    </row>
    <row r="563" spans="1:17">
      <c r="A563" s="3" t="s">
        <v>593</v>
      </c>
      <c r="B563" s="4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 s="3">
        <v>53.4</v>
      </c>
      <c r="Q563" t="b">
        <f>COUNTIF($A$2:A563,A563)&gt;1</f>
        <v>0</v>
      </c>
    </row>
    <row r="564" spans="1:17">
      <c r="A564" s="3" t="s">
        <v>594</v>
      </c>
      <c r="B564" s="4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 s="3">
        <v>40.700000000000003</v>
      </c>
      <c r="Q564" t="b">
        <f>COUNTIF($A$2:A564,A564)&gt;1</f>
        <v>0</v>
      </c>
    </row>
    <row r="565" spans="1:17">
      <c r="A565" s="3" t="s">
        <v>595</v>
      </c>
      <c r="B565" s="4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/>
      <c r="P565" s="3">
        <v>36.700000000000003</v>
      </c>
      <c r="Q565" t="b">
        <f>COUNTIF($A$2:A565,A565)&gt;1</f>
        <v>0</v>
      </c>
    </row>
    <row r="566" spans="1:17">
      <c r="A566" s="3" t="s">
        <v>596</v>
      </c>
      <c r="B566" s="4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1</v>
      </c>
      <c r="N566" s="3">
        <v>0</v>
      </c>
      <c r="O566" s="3"/>
      <c r="P566" s="3">
        <v>67.5</v>
      </c>
      <c r="Q566" t="b">
        <f>COUNTIF($A$2:A566,A566)&gt;1</f>
        <v>0</v>
      </c>
    </row>
    <row r="567" spans="1:17">
      <c r="A567" s="3" t="s">
        <v>597</v>
      </c>
      <c r="B567" s="4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/>
      <c r="P567" s="3">
        <v>69.900000000000006</v>
      </c>
      <c r="Q567" t="b">
        <f>COUNTIF($A$2:A567,A567)&gt;1</f>
        <v>0</v>
      </c>
    </row>
    <row r="568" spans="1:17">
      <c r="A568" s="3" t="s">
        <v>598</v>
      </c>
      <c r="B568" s="4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 s="3">
        <v>65.099999999999994</v>
      </c>
      <c r="Q568" t="b">
        <f>COUNTIF($A$2:A568,A568)&gt;1</f>
        <v>0</v>
      </c>
    </row>
    <row r="569" spans="1:17">
      <c r="A569" s="3" t="s">
        <v>599</v>
      </c>
      <c r="B569" s="4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 s="3">
        <v>48.7</v>
      </c>
      <c r="Q569" t="b">
        <f>COUNTIF($A$2:A569,A569)&gt;1</f>
        <v>0</v>
      </c>
    </row>
    <row r="570" spans="1:17">
      <c r="A570" s="3" t="s">
        <v>600</v>
      </c>
      <c r="B570" s="4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/>
      <c r="P570" s="3">
        <v>47.2</v>
      </c>
      <c r="Q570" t="b">
        <f>COUNTIF($A$2:A570,A570)&gt;1</f>
        <v>0</v>
      </c>
    </row>
    <row r="571" spans="1:17">
      <c r="A571" s="3" t="s">
        <v>601</v>
      </c>
      <c r="B571" s="4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/>
      <c r="P571" s="3">
        <v>20.3</v>
      </c>
      <c r="Q571" t="b">
        <f>COUNTIF($A$2:A571,A571)&gt;1</f>
        <v>0</v>
      </c>
    </row>
    <row r="572" spans="1:17">
      <c r="A572" s="3" t="s">
        <v>602</v>
      </c>
      <c r="B572" s="4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1</v>
      </c>
      <c r="N572" s="3">
        <v>0</v>
      </c>
      <c r="O572" s="3"/>
      <c r="P572" s="3">
        <v>57.8</v>
      </c>
      <c r="Q572" t="b">
        <f>COUNTIF($A$2:A572,A572)&gt;1</f>
        <v>0</v>
      </c>
    </row>
    <row r="573" spans="1:17">
      <c r="A573" s="3" t="s">
        <v>603</v>
      </c>
      <c r="B573" s="4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 s="3">
        <v>78.7</v>
      </c>
      <c r="Q573" t="b">
        <f>COUNTIF($A$2:A573,A573)&gt;1</f>
        <v>0</v>
      </c>
    </row>
    <row r="574" spans="1:17">
      <c r="A574" s="3" t="s">
        <v>604</v>
      </c>
      <c r="B574" s="4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/>
      <c r="P574" s="3">
        <v>63.6</v>
      </c>
      <c r="Q574" t="b">
        <f>COUNTIF($A$2:A574,A574)&gt;1</f>
        <v>0</v>
      </c>
    </row>
    <row r="575" spans="1:17">
      <c r="A575" s="3" t="s">
        <v>605</v>
      </c>
      <c r="B575" s="4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/>
      <c r="P575" s="3">
        <v>45.1</v>
      </c>
      <c r="Q575" t="b">
        <f>COUNTIF($A$2:A575,A575)&gt;1</f>
        <v>0</v>
      </c>
    </row>
    <row r="576" spans="1:17">
      <c r="A576" s="3" t="s">
        <v>606</v>
      </c>
      <c r="B576" s="4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 s="3">
        <v>77.5</v>
      </c>
      <c r="Q576" t="b">
        <f>COUNTIF($A$2:A576,A576)&gt;1</f>
        <v>0</v>
      </c>
    </row>
    <row r="577" spans="1:17">
      <c r="A577" s="3" t="s">
        <v>607</v>
      </c>
      <c r="B577" s="4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</v>
      </c>
      <c r="I577" s="3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 s="3">
        <v>58</v>
      </c>
      <c r="Q577" t="b">
        <f>COUNTIF($A$2:A577,A577)&gt;1</f>
        <v>0</v>
      </c>
    </row>
    <row r="578" spans="1:17">
      <c r="A578" s="3" t="s">
        <v>608</v>
      </c>
      <c r="B578" s="4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 s="3">
        <v>68.099999999999994</v>
      </c>
      <c r="Q578" t="b">
        <f>COUNTIF($A$2:A578,A578)&gt;1</f>
        <v>0</v>
      </c>
    </row>
    <row r="579" spans="1:17">
      <c r="A579" s="3" t="s">
        <v>609</v>
      </c>
      <c r="B579" s="4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 s="3">
        <v>35.4</v>
      </c>
      <c r="Q579" t="b">
        <f>COUNTIF($A$2:A579,A579)&gt;1</f>
        <v>0</v>
      </c>
    </row>
    <row r="580" spans="1:17">
      <c r="A580" s="3" t="s">
        <v>610</v>
      </c>
      <c r="B580" s="4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 s="3">
        <v>47</v>
      </c>
      <c r="Q580" t="b">
        <f>COUNTIF($A$2:A580,A580)&gt;1</f>
        <v>0</v>
      </c>
    </row>
    <row r="581" spans="1:17">
      <c r="A581" s="3" t="s">
        <v>611</v>
      </c>
      <c r="B581" s="4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/>
      <c r="P581" s="3">
        <v>75</v>
      </c>
      <c r="Q581" t="b">
        <f>COUNTIF($A$2:A581,A581)&gt;1</f>
        <v>0</v>
      </c>
    </row>
    <row r="582" spans="1:17">
      <c r="A582" s="3" t="s">
        <v>612</v>
      </c>
      <c r="B582" s="4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3</v>
      </c>
      <c r="N582" s="3">
        <v>0</v>
      </c>
      <c r="O582" s="3"/>
      <c r="P582" s="3">
        <v>50.2</v>
      </c>
      <c r="Q582" t="b">
        <f>COUNTIF($A$2:A582,A582)&gt;1</f>
        <v>0</v>
      </c>
    </row>
    <row r="583" spans="1:17">
      <c r="A583" s="3" t="s">
        <v>613</v>
      </c>
      <c r="B583" s="4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 s="3">
        <v>40.1</v>
      </c>
      <c r="Q583" t="b">
        <f>COUNTIF($A$2:A583,A583)&gt;1</f>
        <v>0</v>
      </c>
    </row>
    <row r="584" spans="1:17">
      <c r="A584" s="3" t="s">
        <v>614</v>
      </c>
      <c r="B584" s="4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 s="3">
        <v>61.1</v>
      </c>
      <c r="Q584" t="b">
        <f>COUNTIF($A$2:A584,A584)&gt;1</f>
        <v>0</v>
      </c>
    </row>
    <row r="585" spans="1:17">
      <c r="A585" s="3" t="s">
        <v>615</v>
      </c>
      <c r="B585" s="4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/>
      <c r="P585" s="3">
        <v>42.4</v>
      </c>
      <c r="Q585" t="b">
        <f>COUNTIF($A$2:A585,A585)&gt;1</f>
        <v>0</v>
      </c>
    </row>
    <row r="586" spans="1:17">
      <c r="A586" s="3" t="s">
        <v>616</v>
      </c>
      <c r="B586" s="4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0</v>
      </c>
      <c r="O586" s="3"/>
      <c r="P586" s="3">
        <v>46.6</v>
      </c>
      <c r="Q586" t="b">
        <f>COUNTIF($A$2:A586,A586)&gt;1</f>
        <v>0</v>
      </c>
    </row>
    <row r="587" spans="1:17">
      <c r="A587" s="3" t="s">
        <v>617</v>
      </c>
      <c r="B587" s="4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 s="3">
        <v>72.099999999999994</v>
      </c>
      <c r="Q587" t="b">
        <f>COUNTIF($A$2:A587,A587)&gt;1</f>
        <v>0</v>
      </c>
    </row>
    <row r="588" spans="1:17">
      <c r="A588" s="3" t="s">
        <v>618</v>
      </c>
      <c r="B588" s="4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/>
      <c r="P588" s="3">
        <v>21.5</v>
      </c>
      <c r="Q588" t="b">
        <f>COUNTIF($A$2:A588,A588)&gt;1</f>
        <v>0</v>
      </c>
    </row>
    <row r="589" spans="1:17">
      <c r="A589" s="3" t="s">
        <v>619</v>
      </c>
      <c r="B589" s="4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>
        <v>1</v>
      </c>
      <c r="N589" s="3">
        <v>0</v>
      </c>
      <c r="O589" s="3"/>
      <c r="P589" s="3">
        <v>65.400000000000006</v>
      </c>
      <c r="Q589" t="b">
        <f>COUNTIF($A$2:A589,A589)&gt;1</f>
        <v>0</v>
      </c>
    </row>
    <row r="590" spans="1:17">
      <c r="A590" s="3" t="s">
        <v>620</v>
      </c>
      <c r="B590" s="4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/>
      <c r="P590" s="3">
        <v>53.3</v>
      </c>
      <c r="Q590" t="b">
        <f>COUNTIF($A$2:A590,A590)&gt;1</f>
        <v>0</v>
      </c>
    </row>
    <row r="591" spans="1:17">
      <c r="A591" s="3" t="s">
        <v>621</v>
      </c>
      <c r="B591" s="4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2</v>
      </c>
      <c r="N591" s="3">
        <v>0</v>
      </c>
      <c r="O591" s="3"/>
      <c r="P591" s="3">
        <v>52.3</v>
      </c>
      <c r="Q591" t="b">
        <f>COUNTIF($A$2:A591,A591)&gt;1</f>
        <v>0</v>
      </c>
    </row>
    <row r="592" spans="1:17">
      <c r="A592" s="3" t="s">
        <v>622</v>
      </c>
      <c r="B592" s="4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 s="3">
        <v>62.5</v>
      </c>
      <c r="Q592" t="b">
        <f>COUNTIF($A$2:A592,A592)&gt;1</f>
        <v>0</v>
      </c>
    </row>
    <row r="593" spans="1:17">
      <c r="A593" s="3" t="s">
        <v>623</v>
      </c>
      <c r="B593" s="4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 s="3">
        <v>69.8</v>
      </c>
      <c r="Q593" t="b">
        <f>COUNTIF($A$2:A593,A593)&gt;1</f>
        <v>0</v>
      </c>
    </row>
    <row r="594" spans="1:17">
      <c r="A594" s="3" t="s">
        <v>624</v>
      </c>
      <c r="B594" s="4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 s="3">
        <v>68.2</v>
      </c>
      <c r="Q594" t="b">
        <f>COUNTIF($A$2:A594,A594)&gt;1</f>
        <v>0</v>
      </c>
    </row>
    <row r="595" spans="1:17">
      <c r="A595" s="3" t="s">
        <v>625</v>
      </c>
      <c r="B595" s="4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</v>
      </c>
      <c r="I595" s="3">
        <v>1</v>
      </c>
      <c r="J595" s="3">
        <v>1</v>
      </c>
      <c r="K595" s="3">
        <v>1</v>
      </c>
      <c r="L595" s="3">
        <v>751.73</v>
      </c>
      <c r="M595" s="3">
        <v>0</v>
      </c>
      <c r="N595" s="3">
        <v>0</v>
      </c>
      <c r="O595" s="3">
        <v>6</v>
      </c>
      <c r="P595" s="3">
        <v>35.200000000000003</v>
      </c>
      <c r="Q595" t="b">
        <f>COUNTIF($A$2:A595,A595)&gt;1</f>
        <v>0</v>
      </c>
    </row>
    <row r="596" spans="1:17">
      <c r="A596" s="3" t="s">
        <v>626</v>
      </c>
      <c r="B596" s="4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 s="3">
        <v>59.3</v>
      </c>
      <c r="Q596" t="b">
        <f>COUNTIF($A$2:A596,A596)&gt;1</f>
        <v>0</v>
      </c>
    </row>
    <row r="597" spans="1:17">
      <c r="A597" s="3" t="s">
        <v>627</v>
      </c>
      <c r="B597" s="4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/>
      <c r="P597" s="3">
        <v>68.099999999999994</v>
      </c>
      <c r="Q597" t="b">
        <f>COUNTIF($A$2:A597,A597)&gt;1</f>
        <v>0</v>
      </c>
    </row>
    <row r="598" spans="1:17">
      <c r="A598" s="3" t="s">
        <v>628</v>
      </c>
      <c r="B598" s="4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 s="3">
        <v>74.8</v>
      </c>
      <c r="Q598" t="b">
        <f>COUNTIF($A$2:A598,A598)&gt;1</f>
        <v>0</v>
      </c>
    </row>
    <row r="599" spans="1:17">
      <c r="A599" s="3" t="s">
        <v>629</v>
      </c>
      <c r="B599" s="4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/>
      <c r="P599" s="3">
        <v>61.7</v>
      </c>
      <c r="Q599" t="b">
        <f>COUNTIF($A$2:A599,A599)&gt;1</f>
        <v>0</v>
      </c>
    </row>
    <row r="600" spans="1:17">
      <c r="A600" s="3" t="s">
        <v>630</v>
      </c>
      <c r="B600" s="4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/>
      <c r="P600" s="3">
        <v>24.3</v>
      </c>
      <c r="Q600" t="b">
        <f>COUNTIF($A$2:A600,A600)&gt;1</f>
        <v>0</v>
      </c>
    </row>
    <row r="601" spans="1:17">
      <c r="A601" s="3" t="s">
        <v>631</v>
      </c>
      <c r="B601" s="4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0</v>
      </c>
      <c r="O601" s="3"/>
      <c r="P601" s="3">
        <v>61.9</v>
      </c>
      <c r="Q601" t="b">
        <f>COUNTIF($A$2:A601,A601)&gt;1</f>
        <v>0</v>
      </c>
    </row>
    <row r="602" spans="1:17">
      <c r="A602" s="3" t="s">
        <v>632</v>
      </c>
      <c r="B602" s="4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</v>
      </c>
      <c r="N602" s="3">
        <v>0</v>
      </c>
      <c r="O602" s="3"/>
      <c r="P602" s="3">
        <v>41.7</v>
      </c>
      <c r="Q602" t="b">
        <f>COUNTIF($A$2:A602,A602)&gt;1</f>
        <v>0</v>
      </c>
    </row>
    <row r="603" spans="1:17">
      <c r="A603" s="3" t="s">
        <v>633</v>
      </c>
      <c r="B603" s="4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 s="3">
        <v>87.6</v>
      </c>
      <c r="Q603" t="b">
        <f>COUNTIF($A$2:A603,A603)&gt;1</f>
        <v>0</v>
      </c>
    </row>
    <row r="604" spans="1:17">
      <c r="A604" s="3" t="s">
        <v>634</v>
      </c>
      <c r="B604" s="4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/>
      <c r="P604" s="3">
        <v>30.8</v>
      </c>
      <c r="Q604" t="b">
        <f>COUNTIF($A$2:A604,A604)&gt;1</f>
        <v>0</v>
      </c>
    </row>
    <row r="605" spans="1:17">
      <c r="A605" s="3" t="s">
        <v>635</v>
      </c>
      <c r="B605" s="4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 s="3">
        <v>54</v>
      </c>
      <c r="Q605" t="b">
        <f>COUNTIF($A$2:A605,A605)&gt;1</f>
        <v>0</v>
      </c>
    </row>
    <row r="606" spans="1:17">
      <c r="A606" s="3" t="s">
        <v>636</v>
      </c>
      <c r="B606" s="4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0</v>
      </c>
      <c r="O606" s="3"/>
      <c r="P606" s="3">
        <v>54.5</v>
      </c>
      <c r="Q606" t="b">
        <f>COUNTIF($A$2:A606,A606)&gt;1</f>
        <v>0</v>
      </c>
    </row>
    <row r="607" spans="1:17">
      <c r="A607" s="3" t="s">
        <v>637</v>
      </c>
      <c r="B607" s="4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 s="3">
        <v>61.3</v>
      </c>
      <c r="Q607" t="b">
        <f>COUNTIF($A$2:A607,A607)&gt;1</f>
        <v>0</v>
      </c>
    </row>
    <row r="608" spans="1:17">
      <c r="A608" s="3" t="s">
        <v>638</v>
      </c>
      <c r="B608" s="4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 s="3">
        <v>62.7</v>
      </c>
      <c r="Q608" t="b">
        <f>COUNTIF($A$2:A608,A608)&gt;1</f>
        <v>0</v>
      </c>
    </row>
    <row r="609" spans="1:17">
      <c r="A609" s="3" t="s">
        <v>639</v>
      </c>
      <c r="B609" s="4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/>
      <c r="P609" s="3">
        <v>43.1</v>
      </c>
      <c r="Q609" t="b">
        <f>COUNTIF($A$2:A609,A609)&gt;1</f>
        <v>0</v>
      </c>
    </row>
    <row r="610" spans="1:17">
      <c r="A610" s="3" t="s">
        <v>640</v>
      </c>
      <c r="B610" s="4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 s="3">
        <v>59.9</v>
      </c>
      <c r="Q610" t="b">
        <f>COUNTIF($A$2:A610,A610)&gt;1</f>
        <v>0</v>
      </c>
    </row>
    <row r="611" spans="1:17">
      <c r="A611" s="3" t="s">
        <v>641</v>
      </c>
      <c r="B611" s="4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0</v>
      </c>
      <c r="O611" s="3"/>
      <c r="P611" s="3">
        <v>55.7</v>
      </c>
      <c r="Q611" t="b">
        <f>COUNTIF($A$2:A611,A611)&gt;1</f>
        <v>0</v>
      </c>
    </row>
    <row r="612" spans="1:17">
      <c r="A612" s="3" t="s">
        <v>642</v>
      </c>
      <c r="B612" s="4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 s="3">
        <v>37.1</v>
      </c>
      <c r="Q612" t="b">
        <f>COUNTIF($A$2:A612,A612)&gt;1</f>
        <v>0</v>
      </c>
    </row>
    <row r="613" spans="1:17">
      <c r="A613" s="3" t="s">
        <v>643</v>
      </c>
      <c r="B613" s="4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/>
      <c r="P613" s="3">
        <v>46.7</v>
      </c>
      <c r="Q613" t="b">
        <f>COUNTIF($A$2:A613,A613)&gt;1</f>
        <v>0</v>
      </c>
    </row>
    <row r="614" spans="1:17">
      <c r="A614" s="3" t="s">
        <v>644</v>
      </c>
      <c r="B614" s="4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 s="3">
        <v>54.1</v>
      </c>
      <c r="Q614" t="b">
        <f>COUNTIF($A$2:A614,A614)&gt;1</f>
        <v>0</v>
      </c>
    </row>
    <row r="615" spans="1:17">
      <c r="A615" s="3" t="s">
        <v>645</v>
      </c>
      <c r="B615" s="4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/>
      <c r="P615" s="3">
        <v>56.1</v>
      </c>
      <c r="Q615" t="b">
        <f>COUNTIF($A$2:A615,A615)&gt;1</f>
        <v>0</v>
      </c>
    </row>
    <row r="616" spans="1:17">
      <c r="A616" s="3" t="s">
        <v>646</v>
      </c>
      <c r="B616" s="4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/>
      <c r="P616" s="3">
        <v>23.6</v>
      </c>
      <c r="Q616" t="b">
        <f>COUNTIF($A$2:A616,A616)&gt;1</f>
        <v>0</v>
      </c>
    </row>
    <row r="617" spans="1:17">
      <c r="A617" s="3" t="s">
        <v>647</v>
      </c>
      <c r="B617" s="4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 s="3">
        <v>54.7</v>
      </c>
      <c r="Q617" t="b">
        <f>COUNTIF($A$2:A617,A617)&gt;1</f>
        <v>0</v>
      </c>
    </row>
    <row r="618" spans="1:17">
      <c r="A618" s="3" t="s">
        <v>648</v>
      </c>
      <c r="B618" s="4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</v>
      </c>
      <c r="N618" s="3">
        <v>0</v>
      </c>
      <c r="O618" s="3"/>
      <c r="P618" s="3">
        <v>50.4</v>
      </c>
      <c r="Q618" t="b">
        <f>COUNTIF($A$2:A618,A618)&gt;1</f>
        <v>0</v>
      </c>
    </row>
    <row r="619" spans="1:17">
      <c r="A619" s="3" t="s">
        <v>649</v>
      </c>
      <c r="B619" s="4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 s="3">
        <v>54.5</v>
      </c>
      <c r="Q619" t="b">
        <f>COUNTIF($A$2:A619,A619)&gt;1</f>
        <v>0</v>
      </c>
    </row>
    <row r="620" spans="1:17">
      <c r="A620" s="3" t="s">
        <v>650</v>
      </c>
      <c r="B620" s="4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 s="3">
        <v>58</v>
      </c>
      <c r="Q620" t="b">
        <f>COUNTIF($A$2:A620,A620)&gt;1</f>
        <v>0</v>
      </c>
    </row>
    <row r="621" spans="1:17">
      <c r="A621" s="3" t="s">
        <v>651</v>
      </c>
      <c r="B621" s="4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 s="3">
        <v>42.9</v>
      </c>
      <c r="Q621" t="b">
        <f>COUNTIF($A$2:A621,A621)&gt;1</f>
        <v>0</v>
      </c>
    </row>
    <row r="622" spans="1:17">
      <c r="A622" s="3" t="s">
        <v>652</v>
      </c>
      <c r="B622" s="4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 s="3">
        <v>51.1</v>
      </c>
      <c r="Q622" t="b">
        <f>COUNTIF($A$2:A622,A622)&gt;1</f>
        <v>0</v>
      </c>
    </row>
    <row r="623" spans="1:17">
      <c r="A623" s="3" t="s">
        <v>653</v>
      </c>
      <c r="B623" s="4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 s="3">
        <v>51.8</v>
      </c>
      <c r="Q623" t="b">
        <f>COUNTIF($A$2:A623,A623)&gt;1</f>
        <v>0</v>
      </c>
    </row>
    <row r="624" spans="1:17">
      <c r="A624" s="3" t="s">
        <v>654</v>
      </c>
      <c r="B624" s="4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 s="3">
        <v>67.7</v>
      </c>
      <c r="Q624" t="b">
        <f>COUNTIF($A$2:A624,A624)&gt;1</f>
        <v>0</v>
      </c>
    </row>
    <row r="625" spans="1:17">
      <c r="A625" s="3" t="s">
        <v>655</v>
      </c>
      <c r="B625" s="4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 s="3">
        <v>75.8</v>
      </c>
      <c r="Q625" t="b">
        <f>COUNTIF($A$2:A625,A625)&gt;1</f>
        <v>0</v>
      </c>
    </row>
    <row r="626" spans="1:17">
      <c r="A626" s="3" t="s">
        <v>656</v>
      </c>
      <c r="B626" s="4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 s="3">
        <v>72.8</v>
      </c>
      <c r="Q626" t="b">
        <f>COUNTIF($A$2:A626,A626)&gt;1</f>
        <v>0</v>
      </c>
    </row>
    <row r="627" spans="1:17">
      <c r="A627" s="3" t="s">
        <v>657</v>
      </c>
      <c r="B627" s="4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 s="3">
        <v>54.4</v>
      </c>
      <c r="Q627" t="b">
        <f>COUNTIF($A$2:A627,A627)&gt;1</f>
        <v>0</v>
      </c>
    </row>
    <row r="628" spans="1:17">
      <c r="A628" s="3" t="s">
        <v>658</v>
      </c>
      <c r="B628" s="4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/>
      <c r="P628" s="3">
        <v>51.8</v>
      </c>
      <c r="Q628" t="b">
        <f>COUNTIF($A$2:A628,A628)&gt;1</f>
        <v>0</v>
      </c>
    </row>
    <row r="629" spans="1:17">
      <c r="A629" s="3" t="s">
        <v>659</v>
      </c>
      <c r="B629" s="4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 s="3">
        <v>40.299999999999997</v>
      </c>
      <c r="Q629" t="b">
        <f>COUNTIF($A$2:A629,A629)&gt;1</f>
        <v>0</v>
      </c>
    </row>
    <row r="630" spans="1:17">
      <c r="A630" s="3" t="s">
        <v>660</v>
      </c>
      <c r="B630" s="4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 s="3">
        <v>61.7</v>
      </c>
      <c r="Q630" t="b">
        <f>COUNTIF($A$2:A630,A630)&gt;1</f>
        <v>0</v>
      </c>
    </row>
    <row r="631" spans="1:17">
      <c r="A631" s="3" t="s">
        <v>661</v>
      </c>
      <c r="B631" s="4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 s="3">
        <v>45</v>
      </c>
      <c r="Q631" t="b">
        <f>COUNTIF($A$2:A631,A631)&gt;1</f>
        <v>0</v>
      </c>
    </row>
    <row r="632" spans="1:17">
      <c r="A632" s="3" t="s">
        <v>662</v>
      </c>
      <c r="B632" s="4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/>
      <c r="P632" s="3">
        <v>60</v>
      </c>
      <c r="Q632" t="b">
        <f>COUNTIF($A$2:A632,A632)&gt;1</f>
        <v>0</v>
      </c>
    </row>
    <row r="633" spans="1:17">
      <c r="A633" s="3" t="s">
        <v>663</v>
      </c>
      <c r="B633" s="4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 s="3"/>
      <c r="Q633" t="b">
        <f>COUNTIF($A$2:A633,A633)&gt;1</f>
        <v>0</v>
      </c>
    </row>
    <row r="634" spans="1:17">
      <c r="A634" s="3" t="s">
        <v>664</v>
      </c>
      <c r="B634" s="4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/>
      <c r="P634" s="3">
        <v>55.5</v>
      </c>
      <c r="Q634" t="b">
        <f>COUNTIF($A$2:A634,A634)&gt;1</f>
        <v>0</v>
      </c>
    </row>
    <row r="635" spans="1:17">
      <c r="A635" s="3" t="s">
        <v>665</v>
      </c>
      <c r="B635" s="4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 s="3">
        <v>51.8</v>
      </c>
      <c r="Q635" t="b">
        <f>COUNTIF($A$2:A635,A635)&gt;1</f>
        <v>0</v>
      </c>
    </row>
    <row r="636" spans="1:17">
      <c r="A636" s="3" t="s">
        <v>666</v>
      </c>
      <c r="B636" s="4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3</v>
      </c>
      <c r="N636" s="3">
        <v>0</v>
      </c>
      <c r="O636" s="3"/>
      <c r="P636" s="3">
        <v>56</v>
      </c>
      <c r="Q636" t="b">
        <f>COUNTIF($A$2:A636,A636)&gt;1</f>
        <v>0</v>
      </c>
    </row>
    <row r="637" spans="1:17">
      <c r="A637" s="3" t="s">
        <v>667</v>
      </c>
      <c r="B637" s="4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/>
      <c r="P637" s="3">
        <v>52.5</v>
      </c>
      <c r="Q637" t="b">
        <f>COUNTIF($A$2:A637,A637)&gt;1</f>
        <v>0</v>
      </c>
    </row>
    <row r="638" spans="1:17">
      <c r="A638" s="3" t="s">
        <v>668</v>
      </c>
      <c r="B638" s="4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 s="3">
        <v>42.5</v>
      </c>
      <c r="Q638" t="b">
        <f>COUNTIF($A$2:A638,A638)&gt;1</f>
        <v>0</v>
      </c>
    </row>
    <row r="639" spans="1:17">
      <c r="A639" s="3" t="s">
        <v>669</v>
      </c>
      <c r="B639" s="4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/>
      <c r="P639" s="3">
        <v>65.3</v>
      </c>
      <c r="Q639" t="b">
        <f>COUNTIF($A$2:A639,A639)&gt;1</f>
        <v>0</v>
      </c>
    </row>
    <row r="640" spans="1:17">
      <c r="A640" s="3" t="s">
        <v>670</v>
      </c>
      <c r="B640" s="4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 s="3">
        <v>37.6</v>
      </c>
      <c r="Q640" t="b">
        <f>COUNTIF($A$2:A640,A640)&gt;1</f>
        <v>0</v>
      </c>
    </row>
    <row r="641" spans="1:17">
      <c r="A641" s="3" t="s">
        <v>671</v>
      </c>
      <c r="B641" s="4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 s="3">
        <v>57.8</v>
      </c>
      <c r="Q641" t="b">
        <f>COUNTIF($A$2:A641,A641)&gt;1</f>
        <v>0</v>
      </c>
    </row>
    <row r="642" spans="1:17">
      <c r="A642" s="3" t="s">
        <v>672</v>
      </c>
      <c r="B642" s="4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 s="3">
        <v>52.7</v>
      </c>
      <c r="Q642" t="b">
        <f>COUNTIF($A$2:A642,A642)&gt;1</f>
        <v>0</v>
      </c>
    </row>
    <row r="643" spans="1:17">
      <c r="A643" s="3" t="s">
        <v>673</v>
      </c>
      <c r="B643" s="4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 s="3">
        <v>51.7</v>
      </c>
      <c r="Q643" t="b">
        <f>COUNTIF($A$2:A643,A643)&gt;1</f>
        <v>0</v>
      </c>
    </row>
    <row r="644" spans="1:17">
      <c r="A644" s="3" t="s">
        <v>674</v>
      </c>
      <c r="B644" s="4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 s="3">
        <v>57</v>
      </c>
      <c r="Q644" t="b">
        <f>COUNTIF($A$2:A644,A644)&gt;1</f>
        <v>0</v>
      </c>
    </row>
    <row r="645" spans="1:17">
      <c r="A645" s="3" t="s">
        <v>675</v>
      </c>
      <c r="B645" s="4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 s="3">
        <v>39.5</v>
      </c>
      <c r="Q645" t="b">
        <f>COUNTIF($A$2:A645,A645)&gt;1</f>
        <v>0</v>
      </c>
    </row>
    <row r="646" spans="1:17">
      <c r="A646" s="3" t="s">
        <v>676</v>
      </c>
      <c r="B646" s="4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 s="3">
        <v>76.5</v>
      </c>
      <c r="Q646" t="b">
        <f>COUNTIF($A$2:A646,A646)&gt;1</f>
        <v>0</v>
      </c>
    </row>
    <row r="647" spans="1:17">
      <c r="A647" s="3" t="s">
        <v>677</v>
      </c>
      <c r="B647" s="4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 s="3">
        <v>32.4</v>
      </c>
      <c r="Q647" t="b">
        <f>COUNTIF($A$2:A647,A647)&gt;1</f>
        <v>0</v>
      </c>
    </row>
    <row r="648" spans="1:17">
      <c r="A648" s="3" t="s">
        <v>678</v>
      </c>
      <c r="B648" s="4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 s="3">
        <v>58.6</v>
      </c>
      <c r="Q648" t="b">
        <f>COUNTIF($A$2:A648,A648)&gt;1</f>
        <v>0</v>
      </c>
    </row>
    <row r="649" spans="1:17">
      <c r="A649" s="3" t="s">
        <v>679</v>
      </c>
      <c r="B649" s="4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 s="3">
        <v>78.599999999999994</v>
      </c>
      <c r="Q649" t="b">
        <f>COUNTIF($A$2:A649,A649)&gt;1</f>
        <v>0</v>
      </c>
    </row>
    <row r="650" spans="1:17">
      <c r="A650" s="3" t="s">
        <v>680</v>
      </c>
      <c r="B650" s="4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 s="3">
        <v>54.5</v>
      </c>
      <c r="Q650" t="b">
        <f>COUNTIF($A$2:A650,A650)&gt;1</f>
        <v>0</v>
      </c>
    </row>
    <row r="651" spans="1:17">
      <c r="A651" s="3" t="s">
        <v>681</v>
      </c>
      <c r="B651" s="4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 s="3">
        <v>57.6</v>
      </c>
      <c r="Q651" t="b">
        <f>COUNTIF($A$2:A651,A651)&gt;1</f>
        <v>0</v>
      </c>
    </row>
    <row r="652" spans="1:17">
      <c r="A652" s="3" t="s">
        <v>682</v>
      </c>
      <c r="B652" s="4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/>
      <c r="P652" s="3">
        <v>52.8</v>
      </c>
      <c r="Q652" t="b">
        <f>COUNTIF($A$2:A652,A652)&gt;1</f>
        <v>0</v>
      </c>
    </row>
    <row r="653" spans="1:17">
      <c r="A653" s="3" t="s">
        <v>683</v>
      </c>
      <c r="B653" s="4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 s="3">
        <v>52.9</v>
      </c>
      <c r="Q653" t="b">
        <f>COUNTIF($A$2:A653,A653)&gt;1</f>
        <v>0</v>
      </c>
    </row>
    <row r="654" spans="1:17">
      <c r="A654" s="3" t="s">
        <v>684</v>
      </c>
      <c r="B654" s="4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0</v>
      </c>
      <c r="O654" s="3"/>
      <c r="P654" s="3">
        <v>55.9</v>
      </c>
      <c r="Q654" t="b">
        <f>COUNTIF($A$2:A654,A654)&gt;1</f>
        <v>0</v>
      </c>
    </row>
    <row r="655" spans="1:17">
      <c r="A655" s="3" t="s">
        <v>685</v>
      </c>
      <c r="B655" s="4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 s="3">
        <v>74.2</v>
      </c>
      <c r="Q655" t="b">
        <f>COUNTIF($A$2:A655,A655)&gt;1</f>
        <v>0</v>
      </c>
    </row>
    <row r="656" spans="1:17">
      <c r="A656" s="3" t="s">
        <v>686</v>
      </c>
      <c r="B656" s="4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 s="3">
        <v>46.3</v>
      </c>
      <c r="Q656" t="b">
        <f>COUNTIF($A$2:A656,A656)&gt;1</f>
        <v>0</v>
      </c>
    </row>
    <row r="657" spans="1:17">
      <c r="A657" s="3" t="s">
        <v>687</v>
      </c>
      <c r="B657" s="4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 s="3">
        <v>62</v>
      </c>
      <c r="Q657" t="b">
        <f>COUNTIF($A$2:A657,A657)&gt;1</f>
        <v>0</v>
      </c>
    </row>
    <row r="658" spans="1:17">
      <c r="A658" s="3" t="s">
        <v>688</v>
      </c>
      <c r="B658" s="4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 s="3">
        <v>55.6</v>
      </c>
      <c r="Q658" t="b">
        <f>COUNTIF($A$2:A658,A658)&gt;1</f>
        <v>0</v>
      </c>
    </row>
    <row r="659" spans="1:17">
      <c r="A659" s="3" t="s">
        <v>689</v>
      </c>
      <c r="B659" s="4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 s="3">
        <v>62.8</v>
      </c>
      <c r="Q659" t="b">
        <f>COUNTIF($A$2:A659,A659)&gt;1</f>
        <v>0</v>
      </c>
    </row>
    <row r="660" spans="1:17">
      <c r="A660" s="3" t="s">
        <v>690</v>
      </c>
      <c r="B660" s="4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 s="3">
        <v>73.099999999999994</v>
      </c>
      <c r="Q660" t="b">
        <f>COUNTIF($A$2:A660,A660)&gt;1</f>
        <v>0</v>
      </c>
    </row>
    <row r="661" spans="1:17">
      <c r="A661" s="3" t="s">
        <v>691</v>
      </c>
      <c r="B661" s="4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347.52</v>
      </c>
      <c r="M661" s="3">
        <v>0</v>
      </c>
      <c r="N661" s="3">
        <v>0</v>
      </c>
      <c r="O661" s="3">
        <v>2</v>
      </c>
      <c r="P661" s="3">
        <v>57.2</v>
      </c>
      <c r="Q661" t="b">
        <f>COUNTIF($A$2:A661,A661)&gt;1</f>
        <v>0</v>
      </c>
    </row>
    <row r="662" spans="1:17">
      <c r="A662" s="3" t="s">
        <v>692</v>
      </c>
      <c r="B662" s="4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/>
      <c r="P662" s="3">
        <v>67.900000000000006</v>
      </c>
      <c r="Q662" t="b">
        <f>COUNTIF($A$2:A662,A662)&gt;1</f>
        <v>0</v>
      </c>
    </row>
    <row r="663" spans="1:17">
      <c r="A663" s="3" t="s">
        <v>693</v>
      </c>
      <c r="B663" s="4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/>
      <c r="P663" s="3">
        <v>50.1</v>
      </c>
      <c r="Q663" t="b">
        <f>COUNTIF($A$2:A663,A663)&gt;1</f>
        <v>0</v>
      </c>
    </row>
    <row r="664" spans="1:17">
      <c r="A664" s="3" t="s">
        <v>694</v>
      </c>
      <c r="B664" s="4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 s="3">
        <v>67.8</v>
      </c>
      <c r="Q664" t="b">
        <f>COUNTIF($A$2:A664,A664)&gt;1</f>
        <v>0</v>
      </c>
    </row>
    <row r="665" spans="1:17">
      <c r="A665" s="3" t="s">
        <v>695</v>
      </c>
      <c r="B665" s="4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3"/>
      <c r="P665" s="3">
        <v>60.8</v>
      </c>
      <c r="Q665" t="b">
        <f>COUNTIF($A$2:A665,A665)&gt;1</f>
        <v>0</v>
      </c>
    </row>
    <row r="666" spans="1:17">
      <c r="A666" s="3" t="s">
        <v>696</v>
      </c>
      <c r="B666" s="4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3</v>
      </c>
      <c r="N666" s="3">
        <v>0</v>
      </c>
      <c r="O666" s="3"/>
      <c r="P666" s="3">
        <v>33.700000000000003</v>
      </c>
      <c r="Q666" t="b">
        <f>COUNTIF($A$2:A666,A666)&gt;1</f>
        <v>0</v>
      </c>
    </row>
    <row r="667" spans="1:17">
      <c r="A667" s="3" t="s">
        <v>697</v>
      </c>
      <c r="B667" s="4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 s="3">
        <v>45.2</v>
      </c>
      <c r="Q667" t="b">
        <f>COUNTIF($A$2:A667,A667)&gt;1</f>
        <v>0</v>
      </c>
    </row>
    <row r="668" spans="1:17">
      <c r="A668" s="3" t="s">
        <v>698</v>
      </c>
      <c r="B668" s="4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 s="3">
        <v>48.2</v>
      </c>
      <c r="Q668" t="b">
        <f>COUNTIF($A$2:A668,A668)&gt;1</f>
        <v>0</v>
      </c>
    </row>
    <row r="669" spans="1:17">
      <c r="A669" s="3" t="s">
        <v>699</v>
      </c>
      <c r="B669" s="4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</v>
      </c>
      <c r="I669" s="3">
        <v>1</v>
      </c>
      <c r="J669" s="3">
        <v>0</v>
      </c>
      <c r="K669" s="3">
        <v>0</v>
      </c>
      <c r="L669" s="3">
        <v>0</v>
      </c>
      <c r="M669" s="3">
        <v>1</v>
      </c>
      <c r="N669" s="3">
        <v>0</v>
      </c>
      <c r="O669" s="3"/>
      <c r="P669" s="3">
        <v>44.8</v>
      </c>
      <c r="Q669" t="b">
        <f>COUNTIF($A$2:A669,A669)&gt;1</f>
        <v>0</v>
      </c>
    </row>
    <row r="670" spans="1:17">
      <c r="A670" s="3" t="s">
        <v>700</v>
      </c>
      <c r="B670" s="4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 s="3">
        <v>52.1</v>
      </c>
      <c r="Q670" t="b">
        <f>COUNTIF($A$2:A670,A670)&gt;1</f>
        <v>0</v>
      </c>
    </row>
    <row r="671" spans="1:17">
      <c r="A671" s="3" t="s">
        <v>701</v>
      </c>
      <c r="B671" s="4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/>
      <c r="P671" s="3">
        <v>30.7</v>
      </c>
      <c r="Q671" t="b">
        <f>COUNTIF($A$2:A671,A671)&gt;1</f>
        <v>0</v>
      </c>
    </row>
    <row r="672" spans="1:17">
      <c r="A672" s="3" t="s">
        <v>702</v>
      </c>
      <c r="B672" s="4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 s="3">
        <v>58.4</v>
      </c>
      <c r="Q672" t="b">
        <f>COUNTIF($A$2:A672,A672)&gt;1</f>
        <v>0</v>
      </c>
    </row>
    <row r="673" spans="1:17">
      <c r="A673" s="3" t="s">
        <v>703</v>
      </c>
      <c r="B673" s="4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 s="3">
        <v>52.6</v>
      </c>
      <c r="Q673" t="b">
        <f>COUNTIF($A$2:A673,A673)&gt;1</f>
        <v>0</v>
      </c>
    </row>
    <row r="674" spans="1:17">
      <c r="A674" s="3" t="s">
        <v>704</v>
      </c>
      <c r="B674" s="4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1</v>
      </c>
      <c r="N674" s="3">
        <v>0</v>
      </c>
      <c r="O674" s="3"/>
      <c r="P674" s="3">
        <v>19.100000000000001</v>
      </c>
      <c r="Q674" t="b">
        <f>COUNTIF($A$2:A674,A674)&gt;1</f>
        <v>0</v>
      </c>
    </row>
    <row r="675" spans="1:17">
      <c r="A675" s="3" t="s">
        <v>705</v>
      </c>
      <c r="B675" s="4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 s="3">
        <v>36.799999999999997</v>
      </c>
      <c r="Q675" t="b">
        <f>COUNTIF($A$2:A675,A675)&gt;1</f>
        <v>0</v>
      </c>
    </row>
    <row r="676" spans="1:17">
      <c r="A676" s="3" t="s">
        <v>706</v>
      </c>
      <c r="B676" s="4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 s="3">
        <v>68.5</v>
      </c>
      <c r="Q676" t="b">
        <f>COUNTIF($A$2:A676,A676)&gt;1</f>
        <v>0</v>
      </c>
    </row>
    <row r="677" spans="1:17">
      <c r="A677" s="3" t="s">
        <v>707</v>
      </c>
      <c r="B677" s="4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0</v>
      </c>
      <c r="O677" s="3"/>
      <c r="P677" s="3">
        <v>40.1</v>
      </c>
      <c r="Q677" t="b">
        <f>COUNTIF($A$2:A677,A677)&gt;1</f>
        <v>0</v>
      </c>
    </row>
    <row r="678" spans="1:17">
      <c r="A678" s="3" t="s">
        <v>708</v>
      </c>
      <c r="B678" s="4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/>
      <c r="P678" s="3">
        <v>47.5</v>
      </c>
      <c r="Q678" t="b">
        <f>COUNTIF($A$2:A678,A678)&gt;1</f>
        <v>0</v>
      </c>
    </row>
    <row r="679" spans="1:17">
      <c r="A679" s="3" t="s">
        <v>709</v>
      </c>
      <c r="B679" s="4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/>
      <c r="P679" s="3">
        <v>77.099999999999994</v>
      </c>
      <c r="Q679" t="b">
        <f>COUNTIF($A$2:A679,A679)&gt;1</f>
        <v>0</v>
      </c>
    </row>
    <row r="680" spans="1:17">
      <c r="A680" s="3" t="s">
        <v>710</v>
      </c>
      <c r="B680" s="4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 s="3">
        <v>75.900000000000006</v>
      </c>
      <c r="Q680" t="b">
        <f>COUNTIF($A$2:A680,A680)&gt;1</f>
        <v>0</v>
      </c>
    </row>
    <row r="681" spans="1:17">
      <c r="A681" s="3" t="s">
        <v>711</v>
      </c>
      <c r="B681" s="4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0</v>
      </c>
      <c r="O681" s="3"/>
      <c r="P681" s="3">
        <v>52</v>
      </c>
      <c r="Q681" t="b">
        <f>COUNTIF($A$2:A681,A681)&gt;1</f>
        <v>0</v>
      </c>
    </row>
    <row r="682" spans="1:17">
      <c r="A682" s="3" t="s">
        <v>712</v>
      </c>
      <c r="B682" s="4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/>
      <c r="P682" s="3">
        <v>64.900000000000006</v>
      </c>
      <c r="Q682" t="b">
        <f>COUNTIF($A$2:A682,A682)&gt;1</f>
        <v>0</v>
      </c>
    </row>
    <row r="683" spans="1:17">
      <c r="A683" s="3" t="s">
        <v>713</v>
      </c>
      <c r="B683" s="4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/>
      <c r="P683" s="3">
        <v>48.2</v>
      </c>
      <c r="Q683" t="b">
        <f>COUNTIF($A$2:A683,A683)&gt;1</f>
        <v>0</v>
      </c>
    </row>
    <row r="684" spans="1:17">
      <c r="A684" s="3" t="s">
        <v>714</v>
      </c>
      <c r="B684" s="4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/>
      <c r="P684" s="3">
        <v>42.1</v>
      </c>
      <c r="Q684" t="b">
        <f>COUNTIF($A$2:A684,A684)&gt;1</f>
        <v>0</v>
      </c>
    </row>
    <row r="685" spans="1:17">
      <c r="A685" s="3" t="s">
        <v>715</v>
      </c>
      <c r="B685" s="4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 s="3">
        <v>27.6</v>
      </c>
      <c r="Q685" t="b">
        <f>COUNTIF($A$2:A685,A685)&gt;1</f>
        <v>0</v>
      </c>
    </row>
    <row r="686" spans="1:17">
      <c r="A686" s="3" t="s">
        <v>716</v>
      </c>
      <c r="B686" s="4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/>
      <c r="P686" s="3">
        <v>68.5</v>
      </c>
      <c r="Q686" t="b">
        <f>COUNTIF($A$2:A686,A686)&gt;1</f>
        <v>0</v>
      </c>
    </row>
    <row r="687" spans="1:17">
      <c r="A687" s="3" t="s">
        <v>717</v>
      </c>
      <c r="B687" s="4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0</v>
      </c>
      <c r="O687" s="3"/>
      <c r="P687" s="3">
        <v>59.2</v>
      </c>
      <c r="Q687" t="b">
        <f>COUNTIF($A$2:A687,A687)&gt;1</f>
        <v>0</v>
      </c>
    </row>
    <row r="688" spans="1:17">
      <c r="A688" s="3" t="s">
        <v>718</v>
      </c>
      <c r="B688" s="4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/>
      <c r="P688" s="3">
        <v>63.3</v>
      </c>
      <c r="Q688" t="b">
        <f>COUNTIF($A$2:A688,A688)&gt;1</f>
        <v>0</v>
      </c>
    </row>
    <row r="689" spans="1:17">
      <c r="A689" s="3" t="s">
        <v>719</v>
      </c>
      <c r="B689" s="4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/>
      <c r="P689" s="3">
        <v>55</v>
      </c>
      <c r="Q689" t="b">
        <f>COUNTIF($A$2:A689,A689)&gt;1</f>
        <v>0</v>
      </c>
    </row>
    <row r="690" spans="1:17">
      <c r="A690" s="3" t="s">
        <v>720</v>
      </c>
      <c r="B690" s="4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/>
      <c r="P690" s="3">
        <v>64.8</v>
      </c>
      <c r="Q690" t="b">
        <f>COUNTIF($A$2:A690,A690)&gt;1</f>
        <v>0</v>
      </c>
    </row>
    <row r="691" spans="1:17">
      <c r="A691" s="3" t="s">
        <v>721</v>
      </c>
      <c r="B691" s="4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2</v>
      </c>
      <c r="N691" s="3">
        <v>0</v>
      </c>
      <c r="O691" s="3"/>
      <c r="P691" s="3">
        <v>41.8</v>
      </c>
      <c r="Q691" t="b">
        <f>COUNTIF($A$2:A691,A691)&gt;1</f>
        <v>0</v>
      </c>
    </row>
    <row r="692" spans="1:17">
      <c r="A692" s="3" t="s">
        <v>722</v>
      </c>
      <c r="B692" s="4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 s="3">
        <v>73.2</v>
      </c>
      <c r="Q692" t="b">
        <f>COUNTIF($A$2:A692,A692)&gt;1</f>
        <v>0</v>
      </c>
    </row>
    <row r="693" spans="1:17">
      <c r="A693" s="3" t="s">
        <v>724</v>
      </c>
      <c r="B693" s="4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 s="3">
        <v>55.7</v>
      </c>
      <c r="Q693" t="b">
        <f>COUNTIF($A$2:A693,A693)&gt;1</f>
        <v>0</v>
      </c>
    </row>
    <row r="694" spans="1:17">
      <c r="A694" s="3" t="s">
        <v>725</v>
      </c>
      <c r="B694" s="4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 s="3">
        <v>82.8</v>
      </c>
      <c r="Q694" t="b">
        <f>COUNTIF($A$2:A694,A694)&gt;1</f>
        <v>0</v>
      </c>
    </row>
    <row r="695" spans="1:17">
      <c r="A695" s="3" t="s">
        <v>726</v>
      </c>
      <c r="B695" s="4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 s="3"/>
      <c r="Q695" t="b">
        <f>COUNTIF($A$2:A695,A695)&gt;1</f>
        <v>0</v>
      </c>
    </row>
    <row r="696" spans="1:17">
      <c r="A696" s="3" t="s">
        <v>727</v>
      </c>
      <c r="B696" s="4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 s="3">
        <v>34.4</v>
      </c>
      <c r="Q696" t="b">
        <f>COUNTIF($A$2:A696,A696)&gt;1</f>
        <v>0</v>
      </c>
    </row>
    <row r="697" spans="1:17">
      <c r="A697" s="3" t="s">
        <v>728</v>
      </c>
      <c r="B697" s="4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 s="3">
        <v>45.2</v>
      </c>
      <c r="Q697" t="b">
        <f>COUNTIF($A$2:A697,A697)&gt;1</f>
        <v>0</v>
      </c>
    </row>
    <row r="698" spans="1:17">
      <c r="A698" s="3" t="s">
        <v>729</v>
      </c>
      <c r="B698" s="4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 s="3">
        <v>71.599999999999994</v>
      </c>
      <c r="Q698" t="b">
        <f>COUNTIF($A$2:A698,A698)&gt;1</f>
        <v>0</v>
      </c>
    </row>
    <row r="699" spans="1:17">
      <c r="A699" s="3" t="s">
        <v>730</v>
      </c>
      <c r="B699" s="4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 s="3">
        <v>69.099999999999994</v>
      </c>
      <c r="Q699" t="b">
        <f>COUNTIF($A$2:A699,A699)&gt;1</f>
        <v>0</v>
      </c>
    </row>
    <row r="700" spans="1:17">
      <c r="A700" s="3" t="s">
        <v>731</v>
      </c>
      <c r="B700" s="4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 s="3">
        <v>37.700000000000003</v>
      </c>
      <c r="Q700" t="b">
        <f>COUNTIF($A$2:A700,A700)&gt;1</f>
        <v>0</v>
      </c>
    </row>
    <row r="701" spans="1:17">
      <c r="A701" s="3" t="s">
        <v>732</v>
      </c>
      <c r="B701" s="4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 s="3">
        <v>60.8</v>
      </c>
      <c r="Q701" t="b">
        <f>COUNTIF($A$2:A701,A701)&gt;1</f>
        <v>0</v>
      </c>
    </row>
    <row r="702" spans="1:17">
      <c r="A702" s="3" t="s">
        <v>733</v>
      </c>
      <c r="B702" s="4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 s="3">
        <v>80.7</v>
      </c>
      <c r="Q702" t="b">
        <f>COUNTIF($A$2:A702,A702)&gt;1</f>
        <v>0</v>
      </c>
    </row>
    <row r="703" spans="1:17">
      <c r="A703" s="3" t="s">
        <v>734</v>
      </c>
      <c r="B703" s="4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 s="3">
        <v>69.2</v>
      </c>
      <c r="Q703" t="b">
        <f>COUNTIF($A$2:A703,A703)&gt;1</f>
        <v>0</v>
      </c>
    </row>
    <row r="704" spans="1:17">
      <c r="A704" s="3" t="s">
        <v>735</v>
      </c>
      <c r="B704" s="4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 s="3">
        <v>55</v>
      </c>
      <c r="Q704" t="b">
        <f>COUNTIF($A$2:A704,A704)&gt;1</f>
        <v>0</v>
      </c>
    </row>
    <row r="705" spans="1:17">
      <c r="A705" s="3" t="s">
        <v>736</v>
      </c>
      <c r="B705" s="4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 s="3">
        <v>73.599999999999994</v>
      </c>
      <c r="Q705" t="b">
        <f>COUNTIF($A$2:A705,A705)&gt;1</f>
        <v>0</v>
      </c>
    </row>
    <row r="706" spans="1:17">
      <c r="A706" s="3" t="s">
        <v>737</v>
      </c>
      <c r="B706" s="4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 s="3">
        <v>47.3</v>
      </c>
      <c r="Q706" t="b">
        <f>COUNTIF($A$2:A706,A706)&gt;1</f>
        <v>0</v>
      </c>
    </row>
    <row r="707" spans="1:17">
      <c r="A707" s="3" t="s">
        <v>738</v>
      </c>
      <c r="B707" s="4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 s="3">
        <v>43.6</v>
      </c>
      <c r="Q707" t="b">
        <f>COUNTIF($A$2:A707,A707)&gt;1</f>
        <v>0</v>
      </c>
    </row>
    <row r="708" spans="1:17">
      <c r="A708" s="3" t="s">
        <v>739</v>
      </c>
      <c r="B708" s="4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 s="3"/>
      <c r="Q708" t="b">
        <f>COUNTIF($A$2:A708,A708)&gt;1</f>
        <v>0</v>
      </c>
    </row>
    <row r="709" spans="1:17">
      <c r="A709" s="3" t="s">
        <v>740</v>
      </c>
      <c r="B709" s="4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 s="3">
        <v>55.2</v>
      </c>
      <c r="Q709" t="b">
        <f>COUNTIF($A$2:A709,A709)&gt;1</f>
        <v>0</v>
      </c>
    </row>
    <row r="710" spans="1:17">
      <c r="A710" s="3" t="s">
        <v>741</v>
      </c>
      <c r="B710" s="4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 s="3">
        <v>49.4</v>
      </c>
      <c r="Q710" t="b">
        <f>COUNTIF($A$2:A710,A710)&gt;1</f>
        <v>0</v>
      </c>
    </row>
    <row r="711" spans="1:17">
      <c r="A711" s="3" t="s">
        <v>742</v>
      </c>
      <c r="B711" s="4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 s="3">
        <v>60.1</v>
      </c>
      <c r="Q711" t="b">
        <f>COUNTIF($A$2:A711,A711)&gt;1</f>
        <v>0</v>
      </c>
    </row>
    <row r="712" spans="1:17">
      <c r="A712" s="3" t="s">
        <v>743</v>
      </c>
      <c r="B712" s="4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 s="3">
        <v>55.9</v>
      </c>
      <c r="Q712" t="b">
        <f>COUNTIF($A$2:A712,A712)&gt;1</f>
        <v>0</v>
      </c>
    </row>
    <row r="713" spans="1:17">
      <c r="A713" s="3" t="s">
        <v>744</v>
      </c>
      <c r="B713" s="4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 s="3">
        <v>51.5</v>
      </c>
      <c r="Q713" t="b">
        <f>COUNTIF($A$2:A713,A713)&gt;1</f>
        <v>0</v>
      </c>
    </row>
    <row r="714" spans="1:17">
      <c r="A714" s="3" t="s">
        <v>745</v>
      </c>
      <c r="B714" s="4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516.66999999999996</v>
      </c>
      <c r="M714" s="3">
        <v>0</v>
      </c>
      <c r="N714" s="3">
        <v>0</v>
      </c>
      <c r="O714" s="3">
        <v>11</v>
      </c>
      <c r="P714" s="3">
        <v>57.9</v>
      </c>
      <c r="Q714" t="b">
        <f>COUNTIF($A$2:A714,A714)&gt;1</f>
        <v>0</v>
      </c>
    </row>
    <row r="715" spans="1:17">
      <c r="A715" s="3" t="s">
        <v>746</v>
      </c>
      <c r="B715" s="4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 s="3">
        <v>59.2</v>
      </c>
      <c r="Q715" t="b">
        <f>COUNTIF($A$2:A715,A715)&gt;1</f>
        <v>0</v>
      </c>
    </row>
    <row r="716" spans="1:17">
      <c r="A716" s="3" t="s">
        <v>747</v>
      </c>
      <c r="B716" s="4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 s="3">
        <v>64.2</v>
      </c>
      <c r="Q716" t="b">
        <f>COUNTIF($A$2:A716,A716)&gt;1</f>
        <v>0</v>
      </c>
    </row>
    <row r="717" spans="1:17">
      <c r="A717" s="3" t="s">
        <v>748</v>
      </c>
      <c r="B717" s="4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 s="3">
        <v>68.8</v>
      </c>
      <c r="Q717" t="b">
        <f>COUNTIF($A$2:A717,A717)&gt;1</f>
        <v>0</v>
      </c>
    </row>
    <row r="718" spans="1:17">
      <c r="A718" s="3" t="s">
        <v>749</v>
      </c>
      <c r="B718" s="4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 s="3">
        <v>77.900000000000006</v>
      </c>
      <c r="Q718" t="b">
        <f>COUNTIF($A$2:A718,A718)&gt;1</f>
        <v>0</v>
      </c>
    </row>
    <row r="719" spans="1:17">
      <c r="A719" s="3" t="s">
        <v>750</v>
      </c>
      <c r="B719" s="4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 s="3">
        <v>92.1</v>
      </c>
      <c r="Q719" t="b">
        <f>COUNTIF($A$2:A719,A719)&gt;1</f>
        <v>0</v>
      </c>
    </row>
    <row r="720" spans="1:17">
      <c r="A720" s="3" t="s">
        <v>751</v>
      </c>
      <c r="B720" s="4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 s="3">
        <v>63.6</v>
      </c>
      <c r="Q720" t="b">
        <f>COUNTIF($A$2:A720,A720)&gt;1</f>
        <v>0</v>
      </c>
    </row>
    <row r="721" spans="1:17">
      <c r="A721" s="3" t="s">
        <v>752</v>
      </c>
      <c r="B721" s="4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 s="3">
        <v>61.6</v>
      </c>
      <c r="Q721" t="b">
        <f>COUNTIF($A$2:A721,A721)&gt;1</f>
        <v>0</v>
      </c>
    </row>
    <row r="722" spans="1:17">
      <c r="A722" s="3" t="s">
        <v>753</v>
      </c>
      <c r="B722" s="4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 s="3">
        <v>82.3</v>
      </c>
      <c r="Q722" t="b">
        <f>COUNTIF($A$2:A722,A722)&gt;1</f>
        <v>0</v>
      </c>
    </row>
    <row r="723" spans="1:17">
      <c r="A723" s="3" t="s">
        <v>754</v>
      </c>
      <c r="B723" s="4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 s="3">
        <v>79.3</v>
      </c>
      <c r="Q723" t="b">
        <f>COUNTIF($A$2:A723,A723)&gt;1</f>
        <v>0</v>
      </c>
    </row>
    <row r="724" spans="1:17">
      <c r="A724" s="3" t="s">
        <v>755</v>
      </c>
      <c r="B724" s="4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 s="3">
        <v>57.7</v>
      </c>
      <c r="Q724" t="b">
        <f>COUNTIF($A$2:A724,A724)&gt;1</f>
        <v>0</v>
      </c>
    </row>
    <row r="725" spans="1:17">
      <c r="A725" s="3" t="s">
        <v>756</v>
      </c>
      <c r="B725" s="4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 s="3">
        <v>63.1</v>
      </c>
      <c r="Q725" t="b">
        <f>COUNTIF($A$2:A725,A725)&gt;1</f>
        <v>0</v>
      </c>
    </row>
    <row r="726" spans="1:17">
      <c r="A726" s="3" t="s">
        <v>757</v>
      </c>
      <c r="B726" s="4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 s="3">
        <v>72.3</v>
      </c>
      <c r="Q726" t="b">
        <f>COUNTIF($A$2:A726,A726)&gt;1</f>
        <v>0</v>
      </c>
    </row>
    <row r="727" spans="1:17">
      <c r="A727" s="3" t="s">
        <v>758</v>
      </c>
      <c r="B727" s="4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 s="3">
        <v>78</v>
      </c>
      <c r="Q727" t="b">
        <f>COUNTIF($A$2:A727,A727)&gt;1</f>
        <v>0</v>
      </c>
    </row>
    <row r="728" spans="1:17">
      <c r="A728" s="3" t="s">
        <v>759</v>
      </c>
      <c r="B728" s="4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 s="3">
        <v>59.1</v>
      </c>
      <c r="Q728" t="b">
        <f>COUNTIF($A$2:A728,A728)&gt;1</f>
        <v>0</v>
      </c>
    </row>
    <row r="729" spans="1:17">
      <c r="A729" s="3" t="s">
        <v>760</v>
      </c>
      <c r="B729" s="4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 s="3">
        <v>47.1</v>
      </c>
      <c r="Q729" t="b">
        <f>COUNTIF($A$2:A729,A729)&gt;1</f>
        <v>0</v>
      </c>
    </row>
    <row r="730" spans="1:17">
      <c r="A730" s="3" t="s">
        <v>761</v>
      </c>
      <c r="B730" s="4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 s="3">
        <v>64.900000000000006</v>
      </c>
      <c r="Q730" t="b">
        <f>COUNTIF($A$2:A730,A730)&gt;1</f>
        <v>0</v>
      </c>
    </row>
    <row r="731" spans="1:17">
      <c r="A731" s="3" t="s">
        <v>762</v>
      </c>
      <c r="B731" s="4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 s="3">
        <v>67.3</v>
      </c>
      <c r="Q731" t="b">
        <f>COUNTIF($A$2:A731,A731)&gt;1</f>
        <v>0</v>
      </c>
    </row>
    <row r="732" spans="1:17">
      <c r="A732" s="3" t="s">
        <v>763</v>
      </c>
      <c r="B732" s="4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 s="3">
        <v>52.9</v>
      </c>
      <c r="Q732" t="b">
        <f>COUNTIF($A$2:A732,A732)&gt;1</f>
        <v>0</v>
      </c>
    </row>
    <row r="733" spans="1:17">
      <c r="A733" s="3" t="s">
        <v>764</v>
      </c>
      <c r="B733" s="4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 s="3">
        <v>69.900000000000006</v>
      </c>
      <c r="Q733" t="b">
        <f>COUNTIF($A$2:A733,A733)&gt;1</f>
        <v>0</v>
      </c>
    </row>
    <row r="734" spans="1:17">
      <c r="A734" s="3" t="s">
        <v>765</v>
      </c>
      <c r="B734" s="4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 s="3">
        <v>78.900000000000006</v>
      </c>
      <c r="Q734" t="b">
        <f>COUNTIF($A$2:A734,A734)&gt;1</f>
        <v>0</v>
      </c>
    </row>
    <row r="735" spans="1:17">
      <c r="A735" s="3" t="s">
        <v>766</v>
      </c>
      <c r="B735" s="4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 s="3">
        <v>83.3</v>
      </c>
      <c r="Q735" t="b">
        <f>COUNTIF($A$2:A735,A735)&gt;1</f>
        <v>0</v>
      </c>
    </row>
    <row r="736" spans="1:17">
      <c r="A736" s="3" t="s">
        <v>767</v>
      </c>
      <c r="B736" s="4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 s="3">
        <v>24.5</v>
      </c>
      <c r="Q736" t="b">
        <f>COUNTIF($A$2:A736,A736)&gt;1</f>
        <v>0</v>
      </c>
    </row>
    <row r="737" spans="1:17">
      <c r="A737" s="3" t="s">
        <v>768</v>
      </c>
      <c r="B737" s="4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 s="3">
        <v>56.9</v>
      </c>
      <c r="Q737" t="b">
        <f>COUNTIF($A$2:A737,A737)&gt;1</f>
        <v>0</v>
      </c>
    </row>
    <row r="738" spans="1:17">
      <c r="A738" s="3" t="s">
        <v>769</v>
      </c>
      <c r="B738" s="4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 s="3">
        <v>69.900000000000006</v>
      </c>
      <c r="Q738" t="b">
        <f>COUNTIF($A$2:A738,A738)&gt;1</f>
        <v>0</v>
      </c>
    </row>
    <row r="739" spans="1:17">
      <c r="A739" s="3" t="s">
        <v>770</v>
      </c>
      <c r="B739" s="4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81.5</v>
      </c>
      <c r="Q739" t="b">
        <f>COUNTIF($A$2:A739,A739)&gt;1</f>
        <v>0</v>
      </c>
    </row>
    <row r="740" spans="1:17">
      <c r="A740" s="3" t="s">
        <v>771</v>
      </c>
      <c r="B740" s="4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 s="3">
        <v>37.9</v>
      </c>
      <c r="Q740" t="b">
        <f>COUNTIF($A$2:A740,A740)&gt;1</f>
        <v>0</v>
      </c>
    </row>
    <row r="741" spans="1:17">
      <c r="A741" s="3" t="s">
        <v>772</v>
      </c>
      <c r="B741" s="4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 s="3">
        <v>61.7</v>
      </c>
      <c r="Q741" t="b">
        <f>COUNTIF($A$2:A741,A741)&gt;1</f>
        <v>0</v>
      </c>
    </row>
    <row r="742" spans="1:17">
      <c r="A742" s="3" t="s">
        <v>773</v>
      </c>
      <c r="B742" s="4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 s="3">
        <v>53.2</v>
      </c>
      <c r="Q742" t="b">
        <f>COUNTIF($A$2:A742,A742)&gt;1</f>
        <v>0</v>
      </c>
    </row>
    <row r="743" spans="1:17">
      <c r="A743" s="3" t="s">
        <v>774</v>
      </c>
      <c r="B743" s="4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61.9</v>
      </c>
      <c r="Q743" t="b">
        <f>COUNTIF($A$2:A743,A743)&gt;1</f>
        <v>0</v>
      </c>
    </row>
    <row r="744" spans="1:17">
      <c r="A744" s="3" t="s">
        <v>775</v>
      </c>
      <c r="B744" s="4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68.900000000000006</v>
      </c>
      <c r="Q744" t="b">
        <f>COUNTIF($A$2:A744,A744)&gt;1</f>
        <v>0</v>
      </c>
    </row>
    <row r="745" spans="1:17">
      <c r="A745" s="3" t="s">
        <v>776</v>
      </c>
      <c r="B745" s="4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66.3</v>
      </c>
      <c r="Q745" t="b">
        <f>COUNTIF($A$2:A745,A745)&gt;1</f>
        <v>0</v>
      </c>
    </row>
    <row r="746" spans="1:17">
      <c r="A746" s="3" t="s">
        <v>777</v>
      </c>
      <c r="B746" s="4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54.6</v>
      </c>
      <c r="Q746" t="b">
        <f>COUNTIF($A$2:A746,A746)&gt;1</f>
        <v>0</v>
      </c>
    </row>
    <row r="747" spans="1:17">
      <c r="A747" s="3" t="s">
        <v>778</v>
      </c>
      <c r="B747" s="4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 s="3">
        <v>53.8</v>
      </c>
      <c r="Q747" t="b">
        <f>COUNTIF($A$2:A747,A747)&gt;1</f>
        <v>0</v>
      </c>
    </row>
    <row r="748" spans="1:17">
      <c r="A748" s="3" t="s">
        <v>779</v>
      </c>
      <c r="B748" s="4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 s="3">
        <v>59.5</v>
      </c>
      <c r="Q748" t="b">
        <f>COUNTIF($A$2:A748,A748)&gt;1</f>
        <v>0</v>
      </c>
    </row>
    <row r="749" spans="1:17">
      <c r="A749" s="3" t="s">
        <v>780</v>
      </c>
      <c r="B749" s="4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52.6</v>
      </c>
      <c r="Q749" t="b">
        <f>COUNTIF($A$2:A749,A749)&gt;1</f>
        <v>0</v>
      </c>
    </row>
    <row r="750" spans="1:17">
      <c r="A750" s="3" t="s">
        <v>781</v>
      </c>
      <c r="B750" s="4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 s="3">
        <v>49</v>
      </c>
      <c r="Q750" t="b">
        <f>COUNTIF($A$2:A750,A750)&gt;1</f>
        <v>0</v>
      </c>
    </row>
    <row r="751" spans="1:17">
      <c r="A751" s="3" t="s">
        <v>782</v>
      </c>
      <c r="B751" s="4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 s="3">
        <v>59.3</v>
      </c>
      <c r="Q751" t="b">
        <f>COUNTIF($A$2:A751,A751)&gt;1</f>
        <v>0</v>
      </c>
    </row>
    <row r="752" spans="1:17">
      <c r="A752" s="3" t="s">
        <v>783</v>
      </c>
      <c r="B752" s="4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 s="3">
        <v>67.2</v>
      </c>
      <c r="Q752" t="b">
        <f>COUNTIF($A$2:A752,A752)&gt;1</f>
        <v>0</v>
      </c>
    </row>
    <row r="753" spans="1:17">
      <c r="A753" s="3" t="s">
        <v>784</v>
      </c>
      <c r="B753" s="4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73.5</v>
      </c>
      <c r="Q753" t="b">
        <f>COUNTIF($A$2:A753,A753)&gt;1</f>
        <v>0</v>
      </c>
    </row>
    <row r="754" spans="1:17">
      <c r="A754" s="3" t="s">
        <v>785</v>
      </c>
      <c r="B754" s="4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>
        <v>61.2</v>
      </c>
      <c r="Q754" t="b">
        <f>COUNTIF($A$2:A754,A754)&gt;1</f>
        <v>0</v>
      </c>
    </row>
    <row r="755" spans="1:17">
      <c r="A755" s="3" t="s">
        <v>786</v>
      </c>
      <c r="B755" s="4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 s="3">
        <v>56.4</v>
      </c>
      <c r="Q755" t="b">
        <f>COUNTIF($A$2:A755,A755)&gt;1</f>
        <v>0</v>
      </c>
    </row>
    <row r="756" spans="1:17">
      <c r="A756" s="3" t="s">
        <v>787</v>
      </c>
      <c r="B756" s="4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 s="3">
        <v>72.599999999999994</v>
      </c>
      <c r="Q756" t="b">
        <f>COUNTIF($A$2:A756,A756)&gt;1</f>
        <v>0</v>
      </c>
    </row>
    <row r="757" spans="1:17">
      <c r="A757" s="3" t="s">
        <v>788</v>
      </c>
      <c r="B757" s="4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 s="3">
        <v>61.7</v>
      </c>
      <c r="Q757" t="b">
        <f>COUNTIF($A$2:A757,A757)&gt;1</f>
        <v>0</v>
      </c>
    </row>
    <row r="758" spans="1:17">
      <c r="A758" s="3" t="s">
        <v>789</v>
      </c>
      <c r="B758" s="4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 s="3">
        <v>66.900000000000006</v>
      </c>
      <c r="Q758" t="b">
        <f>COUNTIF($A$2:A758,A758)&gt;1</f>
        <v>0</v>
      </c>
    </row>
    <row r="759" spans="1:17">
      <c r="A759" s="3" t="s">
        <v>790</v>
      </c>
      <c r="B759" s="4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 s="3">
        <v>64.900000000000006</v>
      </c>
      <c r="Q759" t="b">
        <f>COUNTIF($A$2:A759,A759)&gt;1</f>
        <v>0</v>
      </c>
    </row>
    <row r="760" spans="1:17">
      <c r="A760" s="3" t="s">
        <v>791</v>
      </c>
      <c r="B760" s="4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57.5</v>
      </c>
      <c r="Q760" t="b">
        <f>COUNTIF($A$2:A760,A760)&gt;1</f>
        <v>0</v>
      </c>
    </row>
    <row r="761" spans="1:17">
      <c r="A761" s="3" t="s">
        <v>792</v>
      </c>
      <c r="B761" s="4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76.3</v>
      </c>
      <c r="Q761" t="b">
        <f>COUNTIF($A$2:A761,A761)&gt;1</f>
        <v>0</v>
      </c>
    </row>
    <row r="762" spans="1:17">
      <c r="A762" s="3" t="s">
        <v>793</v>
      </c>
      <c r="B762" s="4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47.5</v>
      </c>
      <c r="Q762" t="b">
        <f>COUNTIF($A$2:A762,A762)&gt;1</f>
        <v>0</v>
      </c>
    </row>
    <row r="763" spans="1:17">
      <c r="A763" s="3" t="s">
        <v>794</v>
      </c>
      <c r="B763" s="4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/>
      <c r="Q763" t="b">
        <f>COUNTIF($A$2:A763,A763)&gt;1</f>
        <v>0</v>
      </c>
    </row>
    <row r="764" spans="1:17">
      <c r="A764" s="3" t="s">
        <v>795</v>
      </c>
      <c r="B764" s="4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 s="3">
        <v>71.599999999999994</v>
      </c>
      <c r="Q764" t="b">
        <f>COUNTIF($A$2:A764,A764)&gt;1</f>
        <v>0</v>
      </c>
    </row>
    <row r="765" spans="1:17">
      <c r="A765" s="3" t="s">
        <v>796</v>
      </c>
      <c r="B765" s="4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 s="3">
        <v>55.8</v>
      </c>
      <c r="Q765" t="b">
        <f>COUNTIF($A$2:A765,A765)&gt;1</f>
        <v>0</v>
      </c>
    </row>
    <row r="766" spans="1:17">
      <c r="A766" s="3" t="s">
        <v>797</v>
      </c>
      <c r="B766" s="4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 s="3">
        <v>60.1</v>
      </c>
      <c r="Q766" t="b">
        <f>COUNTIF($A$2:A766,A766)&gt;1</f>
        <v>0</v>
      </c>
    </row>
    <row r="767" spans="1:17">
      <c r="A767" s="3" t="s">
        <v>798</v>
      </c>
      <c r="B767" s="4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 s="3">
        <v>59.3</v>
      </c>
      <c r="Q767" t="b">
        <f>COUNTIF($A$2:A767,A767)&gt;1</f>
        <v>0</v>
      </c>
    </row>
    <row r="768" spans="1:17">
      <c r="A768" s="3" t="s">
        <v>799</v>
      </c>
      <c r="B768" s="4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 s="3">
        <v>49.3</v>
      </c>
      <c r="Q768" t="b">
        <f>COUNTIF($A$2:A768,A768)&gt;1</f>
        <v>0</v>
      </c>
    </row>
    <row r="769" spans="1:17">
      <c r="A769" s="3" t="s">
        <v>800</v>
      </c>
      <c r="B769" s="4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75</v>
      </c>
      <c r="Q769" t="b">
        <f>COUNTIF($A$2:A769,A769)&gt;1</f>
        <v>0</v>
      </c>
    </row>
    <row r="770" spans="1:17">
      <c r="A770" s="3" t="s">
        <v>801</v>
      </c>
      <c r="B770" s="4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70.2</v>
      </c>
      <c r="Q770" t="b">
        <f>COUNTIF($A$2:A770,A770)&gt;1</f>
        <v>0</v>
      </c>
    </row>
    <row r="771" spans="1:17">
      <c r="A771" s="3" t="s">
        <v>802</v>
      </c>
      <c r="B771" s="4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56.6</v>
      </c>
      <c r="Q771" t="b">
        <f>COUNTIF($A$2:A771,A771)&gt;1</f>
        <v>0</v>
      </c>
    </row>
    <row r="772" spans="1:17">
      <c r="A772" s="3" t="s">
        <v>803</v>
      </c>
      <c r="B772" s="4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 s="3">
        <v>65.400000000000006</v>
      </c>
      <c r="Q772" t="b">
        <f>COUNTIF($A$2:A772,A772)&gt;1</f>
        <v>0</v>
      </c>
    </row>
    <row r="773" spans="1:17">
      <c r="A773" s="3" t="s">
        <v>804</v>
      </c>
      <c r="B773" s="4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47.6</v>
      </c>
      <c r="Q773" t="b">
        <f>COUNTIF($A$2:A773,A773)&gt;1</f>
        <v>0</v>
      </c>
    </row>
    <row r="774" spans="1:17">
      <c r="A774" s="3" t="s">
        <v>805</v>
      </c>
      <c r="B774" s="4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56.7</v>
      </c>
      <c r="Q774" t="b">
        <f>COUNTIF($A$2:A774,A774)&gt;1</f>
        <v>0</v>
      </c>
    </row>
    <row r="775" spans="1:17">
      <c r="A775" s="3" t="s">
        <v>806</v>
      </c>
      <c r="B775" s="4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 s="3">
        <v>71.400000000000006</v>
      </c>
      <c r="Q775" t="b">
        <f>COUNTIF($A$2:A775,A775)&gt;1</f>
        <v>0</v>
      </c>
    </row>
    <row r="776" spans="1:17">
      <c r="A776" s="3" t="s">
        <v>807</v>
      </c>
      <c r="B776" s="4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 s="3">
        <v>60.5</v>
      </c>
      <c r="Q776" t="b">
        <f>COUNTIF($A$2:A776,A776)&gt;1</f>
        <v>0</v>
      </c>
    </row>
    <row r="777" spans="1:17">
      <c r="A777" s="3" t="s">
        <v>808</v>
      </c>
      <c r="B777" s="4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46.7</v>
      </c>
      <c r="Q777" t="b">
        <f>COUNTIF($A$2:A777,A777)&gt;1</f>
        <v>0</v>
      </c>
    </row>
    <row r="778" spans="1:17">
      <c r="A778" s="3" t="s">
        <v>809</v>
      </c>
      <c r="B778" s="4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 s="3">
        <v>61</v>
      </c>
      <c r="Q778" t="b">
        <f>COUNTIF($A$2:A778,A778)&gt;1</f>
        <v>0</v>
      </c>
    </row>
    <row r="779" spans="1:17">
      <c r="A779" s="3" t="s">
        <v>810</v>
      </c>
      <c r="B779" s="4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 s="3">
        <v>60.9</v>
      </c>
      <c r="Q779" t="b">
        <f>COUNTIF($A$2:A779,A779)&gt;1</f>
        <v>0</v>
      </c>
    </row>
    <row r="780" spans="1:17">
      <c r="A780" s="3" t="s">
        <v>811</v>
      </c>
      <c r="B780" s="4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67.099999999999994</v>
      </c>
      <c r="Q780" t="b">
        <f>COUNTIF($A$2:A780,A780)&gt;1</f>
        <v>0</v>
      </c>
    </row>
    <row r="781" spans="1:17">
      <c r="A781" s="3" t="s">
        <v>812</v>
      </c>
      <c r="B781" s="4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59.6</v>
      </c>
      <c r="Q781" t="b">
        <f>COUNTIF($A$2:A781,A781)&gt;1</f>
        <v>0</v>
      </c>
    </row>
    <row r="782" spans="1:17">
      <c r="A782" s="3" t="s">
        <v>813</v>
      </c>
      <c r="B782" s="4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 s="3">
        <v>83.8</v>
      </c>
      <c r="Q782" t="b">
        <f>COUNTIF($A$2:A782,A782)&gt;1</f>
        <v>0</v>
      </c>
    </row>
    <row r="783" spans="1:17">
      <c r="A783" s="3" t="s">
        <v>814</v>
      </c>
      <c r="B783" s="4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 s="3">
        <v>70.8</v>
      </c>
      <c r="Q783" t="b">
        <f>COUNTIF($A$2:A783,A783)&gt;1</f>
        <v>0</v>
      </c>
    </row>
    <row r="784" spans="1:17">
      <c r="A784" s="3" t="s">
        <v>815</v>
      </c>
      <c r="B784" s="4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 s="3">
        <v>65.900000000000006</v>
      </c>
      <c r="Q784" t="b">
        <f>COUNTIF($A$2:A784,A784)&gt;1</f>
        <v>0</v>
      </c>
    </row>
    <row r="785" spans="1:17">
      <c r="A785" s="3" t="s">
        <v>816</v>
      </c>
      <c r="B785" s="4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58</v>
      </c>
      <c r="Q785" t="b">
        <f>COUNTIF($A$2:A785,A785)&gt;1</f>
        <v>0</v>
      </c>
    </row>
    <row r="786" spans="1:17">
      <c r="A786" s="3" t="s">
        <v>817</v>
      </c>
      <c r="B786" s="4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80.3</v>
      </c>
      <c r="Q786" t="b">
        <f>COUNTIF($A$2:A786,A786)&gt;1</f>
        <v>0</v>
      </c>
    </row>
    <row r="787" spans="1:17">
      <c r="A787" s="3" t="s">
        <v>818</v>
      </c>
      <c r="B787" s="4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55.7</v>
      </c>
      <c r="Q787" t="b">
        <f>COUNTIF($A$2:A787,A787)&gt;1</f>
        <v>0</v>
      </c>
    </row>
    <row r="788" spans="1:17">
      <c r="A788" s="3" t="s">
        <v>819</v>
      </c>
      <c r="B788" s="4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84.9</v>
      </c>
      <c r="Q788" t="b">
        <f>COUNTIF($A$2:A788,A788)&gt;1</f>
        <v>0</v>
      </c>
    </row>
    <row r="789" spans="1:17">
      <c r="A789" s="3" t="s">
        <v>820</v>
      </c>
      <c r="B789" s="4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63.3</v>
      </c>
      <c r="Q789" t="b">
        <f>COUNTIF($A$2:A789,A789)&gt;1</f>
        <v>0</v>
      </c>
    </row>
    <row r="790" spans="1:17">
      <c r="A790" s="3" t="s">
        <v>821</v>
      </c>
      <c r="B790" s="4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53.1</v>
      </c>
      <c r="Q790" t="b">
        <f>COUNTIF($A$2:A790,A790)&gt;1</f>
        <v>0</v>
      </c>
    </row>
    <row r="791" spans="1:17">
      <c r="A791" s="3" t="s">
        <v>822</v>
      </c>
      <c r="B791" s="4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66</v>
      </c>
      <c r="Q791" t="b">
        <f>COUNTIF($A$2:A791,A791)&gt;1</f>
        <v>0</v>
      </c>
    </row>
    <row r="792" spans="1:17">
      <c r="A792" s="3" t="s">
        <v>823</v>
      </c>
      <c r="B792" s="4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54.7</v>
      </c>
      <c r="Q792" t="b">
        <f>COUNTIF($A$2:A792,A792)&gt;1</f>
        <v>0</v>
      </c>
    </row>
    <row r="793" spans="1:17">
      <c r="A793" s="3" t="s">
        <v>824</v>
      </c>
      <c r="B793" s="4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 s="3">
        <v>41.2</v>
      </c>
      <c r="Q793" t="b">
        <f>COUNTIF($A$2:A793,A793)&gt;1</f>
        <v>0</v>
      </c>
    </row>
    <row r="794" spans="1:17">
      <c r="A794" s="3" t="s">
        <v>825</v>
      </c>
      <c r="B794" s="4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66.7</v>
      </c>
      <c r="Q794" t="b">
        <f>COUNTIF($A$2:A794,A794)&gt;1</f>
        <v>0</v>
      </c>
    </row>
    <row r="795" spans="1:17">
      <c r="A795" s="3" t="s">
        <v>826</v>
      </c>
      <c r="B795" s="4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39.4</v>
      </c>
      <c r="Q795" t="b">
        <f>COUNTIF($A$2:A795,A795)&gt;1</f>
        <v>0</v>
      </c>
    </row>
    <row r="796" spans="1:17">
      <c r="A796" s="3" t="s">
        <v>827</v>
      </c>
      <c r="B796" s="4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 s="3">
        <v>67</v>
      </c>
      <c r="Q796" t="b">
        <f>COUNTIF($A$2:A796,A796)&gt;1</f>
        <v>0</v>
      </c>
    </row>
    <row r="797" spans="1:17">
      <c r="A797" s="3" t="s">
        <v>828</v>
      </c>
      <c r="B797" s="4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 s="3">
        <v>50.4</v>
      </c>
      <c r="Q797" t="b">
        <f>COUNTIF($A$2:A797,A797)&gt;1</f>
        <v>0</v>
      </c>
    </row>
    <row r="798" spans="1:17">
      <c r="A798" s="3" t="s">
        <v>829</v>
      </c>
      <c r="B798" s="4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 s="3">
        <v>53.8</v>
      </c>
      <c r="Q798" t="b">
        <f>COUNTIF($A$2:A798,A798)&gt;1</f>
        <v>0</v>
      </c>
    </row>
    <row r="799" spans="1:17">
      <c r="A799" s="3" t="s">
        <v>830</v>
      </c>
      <c r="B799" s="4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 s="3">
        <v>82.7</v>
      </c>
      <c r="Q799" t="b">
        <f>COUNTIF($A$2:A799,A799)&gt;1</f>
        <v>0</v>
      </c>
    </row>
    <row r="800" spans="1:17">
      <c r="A800" s="3" t="s">
        <v>831</v>
      </c>
      <c r="B800" s="4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 s="3">
        <v>63.9</v>
      </c>
      <c r="Q800" t="b">
        <f>COUNTIF($A$2:A800,A800)&gt;1</f>
        <v>0</v>
      </c>
    </row>
    <row r="801" spans="1:17">
      <c r="A801" s="3" t="s">
        <v>832</v>
      </c>
      <c r="B801" s="4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61.9</v>
      </c>
      <c r="Q801" t="b">
        <f>COUNTIF($A$2:A801,A801)&gt;1</f>
        <v>0</v>
      </c>
    </row>
    <row r="802" spans="1:17">
      <c r="A802" s="3" t="s">
        <v>833</v>
      </c>
      <c r="B802" s="4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75</v>
      </c>
      <c r="Q802" t="b">
        <f>COUNTIF($A$2:A802,A802)&gt;1</f>
        <v>0</v>
      </c>
    </row>
    <row r="803" spans="1:17">
      <c r="A803" s="3" t="s">
        <v>834</v>
      </c>
      <c r="B803" s="4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43</v>
      </c>
      <c r="Q803" t="b">
        <f>COUNTIF($A$2:A803,A803)&gt;1</f>
        <v>0</v>
      </c>
    </row>
    <row r="804" spans="1:17">
      <c r="A804" s="3" t="s">
        <v>835</v>
      </c>
      <c r="B804" s="4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>
        <v>54.3</v>
      </c>
      <c r="Q804" t="b">
        <f>COUNTIF($A$2:A804,A804)&gt;1</f>
        <v>0</v>
      </c>
    </row>
    <row r="805" spans="1:17">
      <c r="A805" s="3" t="s">
        <v>836</v>
      </c>
      <c r="B805" s="4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44.3</v>
      </c>
      <c r="Q805" t="b">
        <f>COUNTIF($A$2:A805,A805)&gt;1</f>
        <v>0</v>
      </c>
    </row>
    <row r="806" spans="1:17">
      <c r="A806" s="3" t="s">
        <v>837</v>
      </c>
      <c r="B806" s="4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 s="3">
        <v>76</v>
      </c>
      <c r="Q806" t="b">
        <f>COUNTIF($A$2:A806,A806)&gt;1</f>
        <v>0</v>
      </c>
    </row>
    <row r="807" spans="1:17">
      <c r="A807" s="3" t="s">
        <v>838</v>
      </c>
      <c r="B807" s="4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 s="3">
        <v>65.3</v>
      </c>
      <c r="Q807" t="b">
        <f>COUNTIF($A$2:A807,A807)&gt;1</f>
        <v>0</v>
      </c>
    </row>
    <row r="808" spans="1:17">
      <c r="A808" s="3" t="s">
        <v>839</v>
      </c>
      <c r="B808" s="4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 s="3">
        <v>71.2</v>
      </c>
      <c r="Q808" t="b">
        <f>COUNTIF($A$2:A808,A808)&gt;1</f>
        <v>0</v>
      </c>
    </row>
    <row r="809" spans="1:17">
      <c r="A809" s="3" t="s">
        <v>840</v>
      </c>
      <c r="B809" s="4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 s="3">
        <v>77.900000000000006</v>
      </c>
      <c r="Q809" t="b">
        <f>COUNTIF($A$2:A809,A809)&gt;1</f>
        <v>0</v>
      </c>
    </row>
    <row r="810" spans="1:17">
      <c r="A810" s="3" t="s">
        <v>841</v>
      </c>
      <c r="B810" s="4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48.6</v>
      </c>
      <c r="Q810" t="b">
        <f>COUNTIF($A$2:A810,A810)&gt;1</f>
        <v>0</v>
      </c>
    </row>
    <row r="811" spans="1:17">
      <c r="A811" s="3" t="s">
        <v>842</v>
      </c>
      <c r="B811" s="4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61.9</v>
      </c>
      <c r="Q811" t="b">
        <f>COUNTIF($A$2:A811,A811)&gt;1</f>
        <v>0</v>
      </c>
    </row>
    <row r="812" spans="1:17">
      <c r="A812" s="3" t="s">
        <v>843</v>
      </c>
      <c r="B812" s="4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 s="3">
        <v>58.7</v>
      </c>
      <c r="Q812" t="b">
        <f>COUNTIF($A$2:A812,A812)&gt;1</f>
        <v>0</v>
      </c>
    </row>
    <row r="813" spans="1:17">
      <c r="A813" s="3" t="s">
        <v>844</v>
      </c>
      <c r="B813" s="4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69.599999999999994</v>
      </c>
      <c r="Q813" t="b">
        <f>COUNTIF($A$2:A813,A813)&gt;1</f>
        <v>0</v>
      </c>
    </row>
    <row r="814" spans="1:17">
      <c r="A814" s="3" t="s">
        <v>845</v>
      </c>
      <c r="B814" s="4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51.5</v>
      </c>
      <c r="Q814" t="b">
        <f>COUNTIF($A$2:A814,A814)&gt;1</f>
        <v>0</v>
      </c>
    </row>
    <row r="815" spans="1:17">
      <c r="A815" s="3" t="s">
        <v>846</v>
      </c>
      <c r="B815" s="4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 s="3">
        <v>46</v>
      </c>
      <c r="Q815" t="b">
        <f>COUNTIF($A$2:A815,A815)&gt;1</f>
        <v>0</v>
      </c>
    </row>
    <row r="816" spans="1:17">
      <c r="A816" s="3" t="s">
        <v>847</v>
      </c>
      <c r="B816" s="4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81.7</v>
      </c>
      <c r="Q816" t="b">
        <f>COUNTIF($A$2:A816,A816)&gt;1</f>
        <v>0</v>
      </c>
    </row>
    <row r="817" spans="1:17">
      <c r="A817" s="3" t="s">
        <v>848</v>
      </c>
      <c r="B817" s="4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 s="3">
        <v>48.3</v>
      </c>
      <c r="Q817" t="b">
        <f>COUNTIF($A$2:A817,A817)&gt;1</f>
        <v>0</v>
      </c>
    </row>
    <row r="818" spans="1:17">
      <c r="A818" s="3" t="s">
        <v>849</v>
      </c>
      <c r="B818" s="4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85.6</v>
      </c>
      <c r="Q818" t="b">
        <f>COUNTIF($A$2:A818,A818)&gt;1</f>
        <v>0</v>
      </c>
    </row>
    <row r="819" spans="1:17">
      <c r="A819" s="3" t="s">
        <v>850</v>
      </c>
      <c r="B819" s="4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53.8</v>
      </c>
      <c r="Q819" t="b">
        <f>COUNTIF($A$2:A819,A819)&gt;1</f>
        <v>0</v>
      </c>
    </row>
    <row r="820" spans="1:17">
      <c r="A820" s="3" t="s">
        <v>851</v>
      </c>
      <c r="B820" s="4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 s="3">
        <v>69.7</v>
      </c>
      <c r="Q820" t="b">
        <f>COUNTIF($A$2:A820,A820)&gt;1</f>
        <v>0</v>
      </c>
    </row>
    <row r="821" spans="1:17">
      <c r="A821" s="3" t="s">
        <v>852</v>
      </c>
      <c r="B821" s="4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74.8</v>
      </c>
      <c r="Q821" t="b">
        <f>COUNTIF($A$2:A821,A821)&gt;1</f>
        <v>0</v>
      </c>
    </row>
    <row r="822" spans="1:17">
      <c r="A822" s="3" t="s">
        <v>853</v>
      </c>
      <c r="B822" s="4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87.9</v>
      </c>
      <c r="Q822" t="b">
        <f>COUNTIF($A$2:A822,A822)&gt;1</f>
        <v>0</v>
      </c>
    </row>
    <row r="823" spans="1:17">
      <c r="A823" s="3" t="s">
        <v>854</v>
      </c>
      <c r="B823" s="4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 s="3">
        <v>49.1</v>
      </c>
      <c r="Q823" t="b">
        <f>COUNTIF($A$2:A823,A823)&gt;1</f>
        <v>0</v>
      </c>
    </row>
    <row r="824" spans="1:17">
      <c r="A824" s="3" t="s">
        <v>855</v>
      </c>
      <c r="B824" s="4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 s="3">
        <v>73</v>
      </c>
      <c r="Q824" t="b">
        <f>COUNTIF($A$2:A824,A824)&gt;1</f>
        <v>0</v>
      </c>
    </row>
    <row r="825" spans="1:17">
      <c r="A825" s="3" t="s">
        <v>856</v>
      </c>
      <c r="B825" s="4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79.5</v>
      </c>
      <c r="Q825" t="b">
        <f>COUNTIF($A$2:A825,A825)&gt;1</f>
        <v>0</v>
      </c>
    </row>
    <row r="826" spans="1:17">
      <c r="A826" s="3" t="s">
        <v>857</v>
      </c>
      <c r="B826" s="4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 s="3">
        <v>93.2</v>
      </c>
      <c r="Q826" t="b">
        <f>COUNTIF($A$2:A826,A826)&gt;1</f>
        <v>0</v>
      </c>
    </row>
    <row r="827" spans="1:17">
      <c r="A827" s="3" t="s">
        <v>858</v>
      </c>
      <c r="B827" s="4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 s="3">
        <v>77.5</v>
      </c>
      <c r="Q827" t="b">
        <f>COUNTIF($A$2:A827,A827)&gt;1</f>
        <v>0</v>
      </c>
    </row>
    <row r="828" spans="1:17">
      <c r="A828" s="3" t="s">
        <v>859</v>
      </c>
      <c r="B828" s="4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61</v>
      </c>
      <c r="Q828" t="b">
        <f>COUNTIF($A$2:A828,A828)&gt;1</f>
        <v>0</v>
      </c>
    </row>
    <row r="829" spans="1:17">
      <c r="A829" s="3" t="s">
        <v>860</v>
      </c>
      <c r="B829" s="4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64.900000000000006</v>
      </c>
      <c r="Q829" t="b">
        <f>COUNTIF($A$2:A829,A829)&gt;1</f>
        <v>0</v>
      </c>
    </row>
    <row r="830" spans="1:17">
      <c r="A830" s="3" t="s">
        <v>861</v>
      </c>
      <c r="B830" s="4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87.5</v>
      </c>
      <c r="Q830" t="b">
        <f>COUNTIF($A$2:A830,A830)&gt;1</f>
        <v>0</v>
      </c>
    </row>
    <row r="831" spans="1:17">
      <c r="A831" s="3" t="s">
        <v>862</v>
      </c>
      <c r="B831" s="4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 s="3">
        <v>80.599999999999994</v>
      </c>
      <c r="Q831" t="b">
        <f>COUNTIF($A$2:A831,A831)&gt;1</f>
        <v>0</v>
      </c>
    </row>
    <row r="832" spans="1:17">
      <c r="A832" s="3" t="s">
        <v>863</v>
      </c>
      <c r="B832" s="4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66.900000000000006</v>
      </c>
      <c r="Q832" t="b">
        <f>COUNTIF($A$2:A832,A832)&gt;1</f>
        <v>0</v>
      </c>
    </row>
    <row r="833" spans="1:17">
      <c r="A833" s="3" t="s">
        <v>864</v>
      </c>
      <c r="B833" s="4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58.8</v>
      </c>
      <c r="Q833" t="b">
        <f>COUNTIF($A$2:A833,A833)&gt;1</f>
        <v>0</v>
      </c>
    </row>
    <row r="834" spans="1:17">
      <c r="A834" s="3" t="s">
        <v>865</v>
      </c>
      <c r="B834" s="4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 s="3">
        <v>42.9</v>
      </c>
      <c r="Q834" t="b">
        <f>COUNTIF($A$2:A834,A834)&gt;1</f>
        <v>0</v>
      </c>
    </row>
    <row r="835" spans="1:17">
      <c r="A835" s="3" t="s">
        <v>866</v>
      </c>
      <c r="B835" s="4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 s="3">
        <v>60.2</v>
      </c>
      <c r="Q835" t="b">
        <f>COUNTIF($A$2:A835,A835)&gt;1</f>
        <v>0</v>
      </c>
    </row>
    <row r="836" spans="1:17">
      <c r="A836" s="3" t="s">
        <v>867</v>
      </c>
      <c r="B836" s="4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42.7</v>
      </c>
      <c r="Q836" t="b">
        <f>COUNTIF($A$2:A836,A836)&gt;1</f>
        <v>0</v>
      </c>
    </row>
    <row r="837" spans="1:17">
      <c r="A837" s="3" t="s">
        <v>868</v>
      </c>
      <c r="B837" s="4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 s="3">
        <v>60.8</v>
      </c>
      <c r="Q837" t="b">
        <f>COUNTIF($A$2:A837,A837)&gt;1</f>
        <v>0</v>
      </c>
    </row>
    <row r="838" spans="1:17">
      <c r="A838" s="3" t="s">
        <v>869</v>
      </c>
      <c r="B838" s="4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 s="3">
        <v>79.3</v>
      </c>
      <c r="Q838" t="b">
        <f>COUNTIF($A$2:A838,A838)&gt;1</f>
        <v>0</v>
      </c>
    </row>
    <row r="839" spans="1:17">
      <c r="A839" s="3" t="s">
        <v>870</v>
      </c>
      <c r="B839" s="4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 s="3">
        <v>88.6</v>
      </c>
      <c r="Q839" t="b">
        <f>COUNTIF($A$2:A839,A839)&gt;1</f>
        <v>0</v>
      </c>
    </row>
    <row r="840" spans="1:17">
      <c r="A840" s="3" t="s">
        <v>871</v>
      </c>
      <c r="B840" s="4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 s="3">
        <v>63.1</v>
      </c>
      <c r="Q840" t="b">
        <f>COUNTIF($A$2:A840,A840)&gt;1</f>
        <v>0</v>
      </c>
    </row>
    <row r="841" spans="1:17">
      <c r="A841" s="3" t="s">
        <v>872</v>
      </c>
      <c r="B841" s="4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39.700000000000003</v>
      </c>
      <c r="Q841" t="b">
        <f>COUNTIF($A$2:A841,A841)&gt;1</f>
        <v>0</v>
      </c>
    </row>
    <row r="842" spans="1:17">
      <c r="A842" s="3" t="s">
        <v>873</v>
      </c>
      <c r="B842" s="4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67.2</v>
      </c>
      <c r="Q842" t="b">
        <f>COUNTIF($A$2:A842,A842)&gt;1</f>
        <v>0</v>
      </c>
    </row>
    <row r="843" spans="1:17">
      <c r="A843" s="3" t="s">
        <v>874</v>
      </c>
      <c r="B843" s="4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62.3</v>
      </c>
      <c r="Q843" t="b">
        <f>COUNTIF($A$2:A843,A843)&gt;1</f>
        <v>0</v>
      </c>
    </row>
    <row r="844" spans="1:17">
      <c r="A844" s="3" t="s">
        <v>875</v>
      </c>
      <c r="B844" s="4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 s="3"/>
      <c r="Q844" t="b">
        <f>COUNTIF($A$2:A844,A844)&gt;1</f>
        <v>0</v>
      </c>
    </row>
    <row r="845" spans="1:17">
      <c r="A845" s="3" t="s">
        <v>876</v>
      </c>
      <c r="B845" s="4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60.7</v>
      </c>
      <c r="Q845" t="b">
        <f>COUNTIF($A$2:A845,A845)&gt;1</f>
        <v>0</v>
      </c>
    </row>
    <row r="846" spans="1:17">
      <c r="A846" s="3" t="s">
        <v>877</v>
      </c>
      <c r="B846" s="4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 s="3">
        <v>61.5</v>
      </c>
      <c r="Q846" t="b">
        <f>COUNTIF($A$2:A846,A846)&gt;1</f>
        <v>0</v>
      </c>
    </row>
    <row r="847" spans="1:17">
      <c r="A847" s="3" t="s">
        <v>878</v>
      </c>
      <c r="B847" s="4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 s="3">
        <v>75</v>
      </c>
      <c r="Q847" t="b">
        <f>COUNTIF($A$2:A847,A847)&gt;1</f>
        <v>0</v>
      </c>
    </row>
    <row r="848" spans="1:17">
      <c r="A848" s="3" t="s">
        <v>879</v>
      </c>
      <c r="B848" s="4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51.9</v>
      </c>
      <c r="Q848" t="b">
        <f>COUNTIF($A$2:A848,A848)&gt;1</f>
        <v>0</v>
      </c>
    </row>
    <row r="849" spans="1:17">
      <c r="A849" s="3" t="s">
        <v>880</v>
      </c>
      <c r="B849" s="4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34.5</v>
      </c>
      <c r="Q849" t="b">
        <f>COUNTIF($A$2:A849,A849)&gt;1</f>
        <v>0</v>
      </c>
    </row>
    <row r="850" spans="1:17">
      <c r="A850" s="3" t="s">
        <v>881</v>
      </c>
      <c r="B850" s="4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54.5</v>
      </c>
      <c r="Q850" t="b">
        <f>COUNTIF($A$2:A850,A850)&gt;1</f>
        <v>0</v>
      </c>
    </row>
    <row r="851" spans="1:17">
      <c r="A851" s="3" t="s">
        <v>882</v>
      </c>
      <c r="B851" s="4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46</v>
      </c>
      <c r="Q851" t="b">
        <f>COUNTIF($A$2:A851,A851)&gt;1</f>
        <v>0</v>
      </c>
    </row>
    <row r="852" spans="1:17">
      <c r="A852" s="3" t="s">
        <v>883</v>
      </c>
      <c r="B852" s="4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 s="3">
        <v>88.4</v>
      </c>
      <c r="Q852" t="b">
        <f>COUNTIF($A$2:A852,A852)&gt;1</f>
        <v>0</v>
      </c>
    </row>
    <row r="853" spans="1:17">
      <c r="A853" s="3" t="s">
        <v>884</v>
      </c>
      <c r="B853" s="4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</v>
      </c>
      <c r="Q853" t="b">
        <f>COUNTIF($A$2:A853,A853)&gt;1</f>
        <v>0</v>
      </c>
    </row>
    <row r="854" spans="1:17">
      <c r="A854" s="3" t="s">
        <v>885</v>
      </c>
      <c r="B854" s="4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74.2</v>
      </c>
      <c r="Q854" t="b">
        <f>COUNTIF($A$2:A854,A854)&gt;1</f>
        <v>0</v>
      </c>
    </row>
    <row r="855" spans="1:17">
      <c r="A855" s="3" t="s">
        <v>886</v>
      </c>
      <c r="B855" s="4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72.099999999999994</v>
      </c>
      <c r="Q855" t="b">
        <f>COUNTIF($A$2:A855,A855)&gt;1</f>
        <v>0</v>
      </c>
    </row>
    <row r="856" spans="1:17">
      <c r="A856" s="3" t="s">
        <v>887</v>
      </c>
      <c r="B856" s="4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 s="3">
        <v>85.1</v>
      </c>
      <c r="Q856" t="b">
        <f>COUNTIF($A$2:A856,A856)&gt;1</f>
        <v>0</v>
      </c>
    </row>
    <row r="857" spans="1:17">
      <c r="A857" s="3" t="s">
        <v>888</v>
      </c>
      <c r="B857" s="4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49.5</v>
      </c>
      <c r="Q857" t="b">
        <f>COUNTIF($A$2:A857,A857)&gt;1</f>
        <v>0</v>
      </c>
    </row>
    <row r="858" spans="1:17">
      <c r="A858" s="3" t="s">
        <v>889</v>
      </c>
      <c r="B858" s="4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 s="3">
        <v>79</v>
      </c>
      <c r="Q858" t="b">
        <f>COUNTIF($A$2:A858,A858)&gt;1</f>
        <v>0</v>
      </c>
    </row>
    <row r="859" spans="1:17">
      <c r="A859" s="3" t="s">
        <v>890</v>
      </c>
      <c r="B859" s="4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71.8</v>
      </c>
      <c r="Q859" t="b">
        <f>COUNTIF($A$2:A859,A859)&gt;1</f>
        <v>0</v>
      </c>
    </row>
    <row r="860" spans="1:17">
      <c r="A860" s="3" t="s">
        <v>891</v>
      </c>
      <c r="B860" s="4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 s="3">
        <v>60.4</v>
      </c>
      <c r="Q860" t="b">
        <f>COUNTIF($A$2:A860,A860)&gt;1</f>
        <v>0</v>
      </c>
    </row>
    <row r="861" spans="1:17">
      <c r="A861" s="3" t="s">
        <v>892</v>
      </c>
      <c r="B861" s="4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 s="3">
        <v>38.299999999999997</v>
      </c>
      <c r="Q861" t="b">
        <f>COUNTIF($A$2:A861,A861)&gt;1</f>
        <v>0</v>
      </c>
    </row>
    <row r="862" spans="1:17">
      <c r="A862" s="3" t="s">
        <v>893</v>
      </c>
      <c r="B862" s="4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 s="3">
        <v>79.599999999999994</v>
      </c>
      <c r="Q862" t="b">
        <f>COUNTIF($A$2:A862,A862)&gt;1</f>
        <v>0</v>
      </c>
    </row>
    <row r="863" spans="1:17">
      <c r="A863" s="3" t="s">
        <v>894</v>
      </c>
      <c r="B863" s="4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71.900000000000006</v>
      </c>
      <c r="Q863" t="b">
        <f>COUNTIF($A$2:A863,A863)&gt;1</f>
        <v>0</v>
      </c>
    </row>
    <row r="864" spans="1:17">
      <c r="A864" s="3" t="s">
        <v>895</v>
      </c>
      <c r="B864" s="4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 s="3">
        <v>54.6</v>
      </c>
      <c r="Q864" t="b">
        <f>COUNTIF($A$2:A864,A864)&gt;1</f>
        <v>0</v>
      </c>
    </row>
    <row r="865" spans="1:17">
      <c r="A865" s="3" t="s">
        <v>896</v>
      </c>
      <c r="B865" s="4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 s="3">
        <v>49.3</v>
      </c>
      <c r="Q865" t="b">
        <f>COUNTIF($A$2:A865,A865)&gt;1</f>
        <v>0</v>
      </c>
    </row>
    <row r="866" spans="1:17">
      <c r="A866" s="3" t="s">
        <v>897</v>
      </c>
      <c r="B866" s="4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 s="3">
        <v>66.900000000000006</v>
      </c>
      <c r="Q866" t="b">
        <f>COUNTIF($A$2:A866,A866)&gt;1</f>
        <v>0</v>
      </c>
    </row>
    <row r="867" spans="1:17">
      <c r="A867" s="3" t="s">
        <v>898</v>
      </c>
      <c r="B867" s="4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 s="3">
        <v>77.8</v>
      </c>
      <c r="Q867" t="b">
        <f>COUNTIF($A$2:A867,A867)&gt;1</f>
        <v>0</v>
      </c>
    </row>
    <row r="868" spans="1:17">
      <c r="A868" s="3" t="s">
        <v>899</v>
      </c>
      <c r="B868" s="4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63</v>
      </c>
      <c r="Q868" t="b">
        <f>COUNTIF($A$2:A868,A868)&gt;1</f>
        <v>0</v>
      </c>
    </row>
    <row r="869" spans="1:17">
      <c r="A869" s="3" t="s">
        <v>900</v>
      </c>
      <c r="B869" s="4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79.8</v>
      </c>
      <c r="Q869" t="b">
        <f>COUNTIF($A$2:A869,A869)&gt;1</f>
        <v>0</v>
      </c>
    </row>
    <row r="870" spans="1:17">
      <c r="A870" s="3" t="s">
        <v>901</v>
      </c>
      <c r="B870" s="4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 s="3">
        <v>69.900000000000006</v>
      </c>
      <c r="Q870" t="b">
        <f>COUNTIF($A$2:A870,A870)&gt;1</f>
        <v>0</v>
      </c>
    </row>
    <row r="871" spans="1:17">
      <c r="A871" s="3" t="s">
        <v>902</v>
      </c>
      <c r="B871" s="4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 s="3">
        <v>66.400000000000006</v>
      </c>
      <c r="Q871" t="b">
        <f>COUNTIF($A$2:A871,A871)&gt;1</f>
        <v>0</v>
      </c>
    </row>
    <row r="872" spans="1:17">
      <c r="A872" s="3" t="s">
        <v>903</v>
      </c>
      <c r="B872" s="4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 s="3">
        <v>27.6</v>
      </c>
      <c r="Q872" t="b">
        <f>COUNTIF($A$2:A872,A872)&gt;1</f>
        <v>0</v>
      </c>
    </row>
    <row r="873" spans="1:17">
      <c r="A873" s="3" t="s">
        <v>904</v>
      </c>
      <c r="B873" s="4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 s="3">
        <v>56.5</v>
      </c>
      <c r="Q873" t="b">
        <f>COUNTIF($A$2:A873,A873)&gt;1</f>
        <v>0</v>
      </c>
    </row>
    <row r="874" spans="1:17">
      <c r="A874" s="3" t="s">
        <v>905</v>
      </c>
      <c r="B874" s="4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67.8</v>
      </c>
      <c r="Q874" t="b">
        <f>COUNTIF($A$2:A874,A874)&gt;1</f>
        <v>0</v>
      </c>
    </row>
    <row r="875" spans="1:17">
      <c r="A875" s="3" t="s">
        <v>906</v>
      </c>
      <c r="B875" s="4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80</v>
      </c>
      <c r="Q875" t="b">
        <f>COUNTIF($A$2:A875,A875)&gt;1</f>
        <v>0</v>
      </c>
    </row>
    <row r="876" spans="1:17">
      <c r="A876" s="3" t="s">
        <v>907</v>
      </c>
      <c r="B876" s="4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 s="3">
        <v>80.900000000000006</v>
      </c>
      <c r="Q876" t="b">
        <f>COUNTIF($A$2:A876,A876)&gt;1</f>
        <v>0</v>
      </c>
    </row>
    <row r="877" spans="1:17">
      <c r="A877" s="3" t="s">
        <v>908</v>
      </c>
      <c r="B877" s="4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>
        <v>34.5</v>
      </c>
      <c r="Q877" t="b">
        <f>COUNTIF($A$2:A877,A877)&gt;1</f>
        <v>0</v>
      </c>
    </row>
    <row r="878" spans="1:17">
      <c r="A878" s="3" t="s">
        <v>909</v>
      </c>
      <c r="B878" s="4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73.5</v>
      </c>
      <c r="Q878" t="b">
        <f>COUNTIF($A$2:A878,A878)&gt;1</f>
        <v>0</v>
      </c>
    </row>
    <row r="879" spans="1:17">
      <c r="A879" s="3" t="s">
        <v>910</v>
      </c>
      <c r="B879" s="4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70</v>
      </c>
      <c r="Q879" t="b">
        <f>COUNTIF($A$2:A879,A879)&gt;1</f>
        <v>0</v>
      </c>
    </row>
    <row r="880" spans="1:17">
      <c r="A880" s="3" t="s">
        <v>911</v>
      </c>
      <c r="B880" s="4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86.9</v>
      </c>
      <c r="Q880" t="b">
        <f>COUNTIF($A$2:A880,A880)&gt;1</f>
        <v>0</v>
      </c>
    </row>
    <row r="881" spans="1:17">
      <c r="A881" s="3" t="s">
        <v>912</v>
      </c>
      <c r="B881" s="4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66.900000000000006</v>
      </c>
      <c r="Q881" t="b">
        <f>COUNTIF($A$2:A881,A881)&gt;1</f>
        <v>0</v>
      </c>
    </row>
    <row r="882" spans="1:17">
      <c r="A882" s="3" t="s">
        <v>913</v>
      </c>
      <c r="B882" s="4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58.3</v>
      </c>
      <c r="Q882" t="b">
        <f>COUNTIF($A$2:A882,A882)&gt;1</f>
        <v>0</v>
      </c>
    </row>
    <row r="883" spans="1:17">
      <c r="A883" s="3" t="s">
        <v>914</v>
      </c>
      <c r="B883" s="4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45</v>
      </c>
      <c r="Q883" t="b">
        <f>COUNTIF($A$2:A883,A883)&gt;1</f>
        <v>0</v>
      </c>
    </row>
    <row r="884" spans="1:17">
      <c r="A884" s="3" t="s">
        <v>915</v>
      </c>
      <c r="B884" s="4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60.8</v>
      </c>
      <c r="Q884" t="b">
        <f>COUNTIF($A$2:A884,A884)&gt;1</f>
        <v>0</v>
      </c>
    </row>
    <row r="885" spans="1:17">
      <c r="A885" s="3" t="s">
        <v>916</v>
      </c>
      <c r="B885" s="4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 s="3">
        <v>53.7</v>
      </c>
      <c r="Q885" t="b">
        <f>COUNTIF($A$2:A885,A885)&gt;1</f>
        <v>0</v>
      </c>
    </row>
    <row r="886" spans="1:17">
      <c r="A886" s="3" t="s">
        <v>917</v>
      </c>
      <c r="B886" s="4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48.8</v>
      </c>
      <c r="Q886" t="b">
        <f>COUNTIF($A$2:A886,A886)&gt;1</f>
        <v>0</v>
      </c>
    </row>
    <row r="887" spans="1:17">
      <c r="A887" s="3" t="s">
        <v>918</v>
      </c>
      <c r="B887" s="4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52.9</v>
      </c>
      <c r="Q887" t="b">
        <f>COUNTIF($A$2:A887,A887)&gt;1</f>
        <v>0</v>
      </c>
    </row>
    <row r="888" spans="1:17">
      <c r="A888" s="3" t="s">
        <v>919</v>
      </c>
      <c r="B888" s="4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42.4</v>
      </c>
      <c r="Q888" t="b">
        <f>COUNTIF($A$2:A888,A888)&gt;1</f>
        <v>0</v>
      </c>
    </row>
    <row r="889" spans="1:17">
      <c r="A889" s="3" t="s">
        <v>920</v>
      </c>
      <c r="B889" s="4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58.7</v>
      </c>
      <c r="Q889" t="b">
        <f>COUNTIF($A$2:A889,A889)&gt;1</f>
        <v>0</v>
      </c>
    </row>
    <row r="890" spans="1:17">
      <c r="A890" s="3" t="s">
        <v>921</v>
      </c>
      <c r="B890" s="4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</v>
      </c>
      <c r="I890" s="3">
        <v>1</v>
      </c>
      <c r="J890" s="3">
        <v>1</v>
      </c>
      <c r="K890" s="3">
        <v>1</v>
      </c>
      <c r="L890" s="3">
        <v>2064.5500000000002</v>
      </c>
      <c r="M890" s="3">
        <v>0</v>
      </c>
      <c r="N890" s="3">
        <v>0</v>
      </c>
      <c r="O890" s="3">
        <v>1</v>
      </c>
      <c r="P890" s="3">
        <v>67.8</v>
      </c>
      <c r="Q890" t="b">
        <f>COUNTIF($A$2:A890,A890)&gt;1</f>
        <v>0</v>
      </c>
    </row>
    <row r="891" spans="1:17">
      <c r="A891" s="3" t="s">
        <v>922</v>
      </c>
      <c r="B891" s="4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62.6</v>
      </c>
      <c r="Q891" t="b">
        <f>COUNTIF($A$2:A891,A891)&gt;1</f>
        <v>0</v>
      </c>
    </row>
    <row r="892" spans="1:17">
      <c r="A892" s="3" t="s">
        <v>923</v>
      </c>
      <c r="B892" s="4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 s="3">
        <v>82.4</v>
      </c>
      <c r="Q892" t="b">
        <f>COUNTIF($A$2:A892,A892)&gt;1</f>
        <v>0</v>
      </c>
    </row>
    <row r="893" spans="1:17">
      <c r="A893" s="3" t="s">
        <v>924</v>
      </c>
      <c r="B893" s="4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50.4</v>
      </c>
      <c r="Q893" t="b">
        <f>COUNTIF($A$2:A893,A893)&gt;1</f>
        <v>0</v>
      </c>
    </row>
    <row r="894" spans="1:17">
      <c r="A894" s="3" t="s">
        <v>925</v>
      </c>
      <c r="B894" s="4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68.400000000000006</v>
      </c>
      <c r="Q894" t="b">
        <f>COUNTIF($A$2:A894,A894)&gt;1</f>
        <v>0</v>
      </c>
    </row>
    <row r="895" spans="1:17">
      <c r="A895" s="3" t="s">
        <v>926</v>
      </c>
      <c r="B895" s="4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58.8</v>
      </c>
      <c r="Q895" t="b">
        <f>COUNTIF($A$2:A895,A895)&gt;1</f>
        <v>0</v>
      </c>
    </row>
    <row r="896" spans="1:17">
      <c r="A896" s="3" t="s">
        <v>927</v>
      </c>
      <c r="B896" s="4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 s="3">
        <v>28.3</v>
      </c>
      <c r="Q896" t="b">
        <f>COUNTIF($A$2:A896,A896)&gt;1</f>
        <v>0</v>
      </c>
    </row>
    <row r="897" spans="1:17">
      <c r="A897" s="3" t="s">
        <v>928</v>
      </c>
      <c r="B897" s="4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 s="3">
        <v>44.1</v>
      </c>
      <c r="Q897" t="b">
        <f>COUNTIF($A$2:A897,A897)&gt;1</f>
        <v>0</v>
      </c>
    </row>
    <row r="898" spans="1:17">
      <c r="A898" s="3" t="s">
        <v>929</v>
      </c>
      <c r="B898" s="4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 s="3">
        <v>66.7</v>
      </c>
      <c r="Q898" t="b">
        <f>COUNTIF($A$2:A898,A898)&gt;1</f>
        <v>0</v>
      </c>
    </row>
    <row r="899" spans="1:17">
      <c r="A899" s="3" t="s">
        <v>930</v>
      </c>
      <c r="B899" s="4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100</v>
      </c>
      <c r="Q899" t="b">
        <f>COUNTIF($A$2:A899,A899)&gt;1</f>
        <v>0</v>
      </c>
    </row>
    <row r="900" spans="1:17">
      <c r="A900" s="3" t="s">
        <v>931</v>
      </c>
      <c r="B900" s="4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87.5</v>
      </c>
      <c r="Q900" t="b">
        <f>COUNTIF($A$2:A900,A900)&gt;1</f>
        <v>0</v>
      </c>
    </row>
    <row r="901" spans="1:17">
      <c r="A901" s="3" t="s">
        <v>932</v>
      </c>
      <c r="B901" s="4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 s="3">
        <v>65.400000000000006</v>
      </c>
      <c r="Q901" t="b">
        <f>COUNTIF($A$2:A901,A901)&gt;1</f>
        <v>0</v>
      </c>
    </row>
    <row r="902" spans="1:17">
      <c r="A902" s="3" t="s">
        <v>933</v>
      </c>
      <c r="B902" s="4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 s="3">
        <v>22.9</v>
      </c>
      <c r="Q902" t="b">
        <f>COUNTIF($A$2:A902,A902)&gt;1</f>
        <v>0</v>
      </c>
    </row>
    <row r="903" spans="1:17">
      <c r="A903" s="3" t="s">
        <v>934</v>
      </c>
      <c r="B903" s="4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64.599999999999994</v>
      </c>
      <c r="Q903" t="b">
        <f>COUNTIF($A$2:A903,A903)&gt;1</f>
        <v>0</v>
      </c>
    </row>
    <row r="904" spans="1:17">
      <c r="A904" s="3" t="s">
        <v>935</v>
      </c>
      <c r="B904" s="4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 s="3">
        <v>54.4</v>
      </c>
      <c r="Q904" t="b">
        <f>COUNTIF($A$2:A904,A904)&gt;1</f>
        <v>0</v>
      </c>
    </row>
    <row r="905" spans="1:17">
      <c r="A905" s="3" t="s">
        <v>936</v>
      </c>
      <c r="B905" s="4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56.8</v>
      </c>
      <c r="Q905" t="b">
        <f>COUNTIF($A$2:A905,A905)&gt;1</f>
        <v>0</v>
      </c>
    </row>
    <row r="906" spans="1:17">
      <c r="A906" s="3" t="s">
        <v>937</v>
      </c>
      <c r="B906" s="4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 s="3">
        <v>63.6</v>
      </c>
      <c r="Q906" t="b">
        <f>COUNTIF($A$2:A906,A906)&gt;1</f>
        <v>0</v>
      </c>
    </row>
    <row r="907" spans="1:17">
      <c r="A907" s="3" t="s">
        <v>938</v>
      </c>
      <c r="B907" s="4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 s="3">
        <v>58.2</v>
      </c>
      <c r="Q907" t="b">
        <f>COUNTIF($A$2:A907,A907)&gt;1</f>
        <v>0</v>
      </c>
    </row>
    <row r="908" spans="1:17">
      <c r="A908" s="3" t="s">
        <v>939</v>
      </c>
      <c r="B908" s="4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54.6</v>
      </c>
      <c r="Q908" t="b">
        <f>COUNTIF($A$2:A908,A908)&gt;1</f>
        <v>0</v>
      </c>
    </row>
    <row r="909" spans="1:17">
      <c r="A909" s="3" t="s">
        <v>940</v>
      </c>
      <c r="B909" s="4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81.900000000000006</v>
      </c>
      <c r="Q909" t="b">
        <f>COUNTIF($A$2:A909,A909)&gt;1</f>
        <v>0</v>
      </c>
    </row>
    <row r="910" spans="1:17">
      <c r="A910" s="3" t="s">
        <v>941</v>
      </c>
      <c r="B910" s="4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 s="3">
        <v>53.3</v>
      </c>
      <c r="Q910" t="b">
        <f>COUNTIF($A$2:A910,A910)&gt;1</f>
        <v>0</v>
      </c>
    </row>
    <row r="911" spans="1:17">
      <c r="A911" s="3" t="s">
        <v>942</v>
      </c>
      <c r="B911" s="4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54.2</v>
      </c>
      <c r="Q911" t="b">
        <f>COUNTIF($A$2:A911,A911)&gt;1</f>
        <v>0</v>
      </c>
    </row>
    <row r="912" spans="1:17">
      <c r="A912" s="3" t="s">
        <v>943</v>
      </c>
      <c r="B912" s="4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65.599999999999994</v>
      </c>
      <c r="Q912" t="b">
        <f>COUNTIF($A$2:A912,A912)&gt;1</f>
        <v>0</v>
      </c>
    </row>
    <row r="913" spans="1:17">
      <c r="A913" s="3" t="s">
        <v>944</v>
      </c>
      <c r="B913" s="4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 s="3">
        <v>56.5</v>
      </c>
      <c r="Q913" t="b">
        <f>COUNTIF($A$2:A913,A913)&gt;1</f>
        <v>0</v>
      </c>
    </row>
    <row r="914" spans="1:17">
      <c r="A914" s="3" t="s">
        <v>945</v>
      </c>
      <c r="B914" s="4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59.7</v>
      </c>
      <c r="Q914" t="b">
        <f>COUNTIF($A$2:A914,A914)&gt;1</f>
        <v>0</v>
      </c>
    </row>
    <row r="915" spans="1:17">
      <c r="A915" s="3" t="s">
        <v>946</v>
      </c>
      <c r="B915" s="4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72.5</v>
      </c>
      <c r="Q915" t="b">
        <f>COUNTIF($A$2:A915,A915)&gt;1</f>
        <v>0</v>
      </c>
    </row>
    <row r="916" spans="1:17">
      <c r="A916" s="3" t="s">
        <v>947</v>
      </c>
      <c r="B916" s="4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 s="3">
        <v>64.3</v>
      </c>
      <c r="Q916" t="b">
        <f>COUNTIF($A$2:A916,A916)&gt;1</f>
        <v>0</v>
      </c>
    </row>
    <row r="917" spans="1:17">
      <c r="A917" s="3" t="s">
        <v>948</v>
      </c>
      <c r="B917" s="4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64.5</v>
      </c>
      <c r="Q917" t="b">
        <f>COUNTIF($A$2:A917,A917)&gt;1</f>
        <v>0</v>
      </c>
    </row>
    <row r="918" spans="1:17">
      <c r="A918" s="3" t="s">
        <v>949</v>
      </c>
      <c r="B918" s="4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70.599999999999994</v>
      </c>
      <c r="Q918" t="b">
        <f>COUNTIF($A$2:A918,A918)&gt;1</f>
        <v>0</v>
      </c>
    </row>
    <row r="919" spans="1:17">
      <c r="A919" s="3" t="s">
        <v>950</v>
      </c>
      <c r="B919" s="4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58.4</v>
      </c>
      <c r="Q919" t="b">
        <f>COUNTIF($A$2:A919,A919)&gt;1</f>
        <v>0</v>
      </c>
    </row>
    <row r="920" spans="1:17">
      <c r="A920" s="3" t="s">
        <v>951</v>
      </c>
      <c r="B920" s="4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56.6</v>
      </c>
      <c r="Q920" t="b">
        <f>COUNTIF($A$2:A920,A920)&gt;1</f>
        <v>0</v>
      </c>
    </row>
    <row r="921" spans="1:17">
      <c r="A921" s="3" t="s">
        <v>952</v>
      </c>
      <c r="B921" s="4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61.8</v>
      </c>
      <c r="Q921" t="b">
        <f>COUNTIF($A$2:A921,A921)&gt;1</f>
        <v>0</v>
      </c>
    </row>
    <row r="922" spans="1:17">
      <c r="A922" s="3" t="s">
        <v>953</v>
      </c>
      <c r="B922" s="4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 s="3">
        <v>43.4</v>
      </c>
      <c r="Q922" t="b">
        <f>COUNTIF($A$2:A922,A922)&gt;1</f>
        <v>0</v>
      </c>
    </row>
    <row r="923" spans="1:17">
      <c r="A923" s="3" t="s">
        <v>954</v>
      </c>
      <c r="B923" s="4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43</v>
      </c>
      <c r="Q923" t="b">
        <f>COUNTIF($A$2:A923,A923)&gt;1</f>
        <v>0</v>
      </c>
    </row>
    <row r="924" spans="1:17">
      <c r="A924" s="3" t="s">
        <v>955</v>
      </c>
      <c r="B924" s="4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51.1</v>
      </c>
      <c r="Q924" t="b">
        <f>COUNTIF($A$2:A924,A924)&gt;1</f>
        <v>0</v>
      </c>
    </row>
    <row r="925" spans="1:17">
      <c r="A925" s="3" t="s">
        <v>956</v>
      </c>
      <c r="B925" s="4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48.8</v>
      </c>
      <c r="Q925" t="b">
        <f>COUNTIF($A$2:A925,A925)&gt;1</f>
        <v>0</v>
      </c>
    </row>
    <row r="926" spans="1:17">
      <c r="A926" s="3" t="s">
        <v>957</v>
      </c>
      <c r="B926" s="4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 s="3">
        <v>73.2</v>
      </c>
      <c r="Q926" t="b">
        <f>COUNTIF($A$2:A926,A926)&gt;1</f>
        <v>0</v>
      </c>
    </row>
    <row r="927" spans="1:17">
      <c r="A927" s="3" t="s">
        <v>958</v>
      </c>
      <c r="B927" s="4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80</v>
      </c>
      <c r="Q927" t="b">
        <f>COUNTIF($A$2:A927,A927)&gt;1</f>
        <v>0</v>
      </c>
    </row>
    <row r="928" spans="1:17">
      <c r="A928" s="3" t="s">
        <v>959</v>
      </c>
      <c r="B928" s="4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52.3</v>
      </c>
      <c r="Q928" t="b">
        <f>COUNTIF($A$2:A928,A928)&gt;1</f>
        <v>0</v>
      </c>
    </row>
    <row r="929" spans="1:17">
      <c r="A929" s="3" t="s">
        <v>960</v>
      </c>
      <c r="B929" s="4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49.1</v>
      </c>
      <c r="Q929" t="b">
        <f>COUNTIF($A$2:A929,A929)&gt;1</f>
        <v>0</v>
      </c>
    </row>
    <row r="930" spans="1:17">
      <c r="A930" s="3" t="s">
        <v>961</v>
      </c>
      <c r="B930" s="4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45.3</v>
      </c>
      <c r="Q930" t="b">
        <f>COUNTIF($A$2:A930,A930)&gt;1</f>
        <v>0</v>
      </c>
    </row>
    <row r="931" spans="1:17">
      <c r="A931" s="3" t="s">
        <v>962</v>
      </c>
      <c r="B931" s="4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 s="3">
        <v>49.1</v>
      </c>
      <c r="Q931" t="b">
        <f>COUNTIF($A$2:A931,A931)&gt;1</f>
        <v>0</v>
      </c>
    </row>
    <row r="932" spans="1:17">
      <c r="A932" s="3" t="s">
        <v>963</v>
      </c>
      <c r="B932" s="4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 s="3">
        <v>88.6</v>
      </c>
      <c r="Q932" t="b">
        <f>COUNTIF($A$2:A932,A932)&gt;1</f>
        <v>0</v>
      </c>
    </row>
    <row r="933" spans="1:17">
      <c r="A933" s="3" t="s">
        <v>964</v>
      </c>
      <c r="B933" s="4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 s="3">
        <v>54.4</v>
      </c>
      <c r="Q933" t="b">
        <f>COUNTIF($A$2:A933,A933)&gt;1</f>
        <v>0</v>
      </c>
    </row>
    <row r="934" spans="1:17">
      <c r="A934" s="3" t="s">
        <v>965</v>
      </c>
      <c r="B934" s="4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 s="3">
        <v>72.900000000000006</v>
      </c>
      <c r="Q934" t="b">
        <f>COUNTIF($A$2:A934,A934)&gt;1</f>
        <v>0</v>
      </c>
    </row>
    <row r="935" spans="1:17">
      <c r="A935" s="3" t="s">
        <v>966</v>
      </c>
      <c r="B935" s="4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53.2</v>
      </c>
      <c r="Q935" t="b">
        <f>COUNTIF($A$2:A935,A935)&gt;1</f>
        <v>0</v>
      </c>
    </row>
    <row r="936" spans="1:17">
      <c r="A936" s="3" t="s">
        <v>967</v>
      </c>
      <c r="B936" s="4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48.7</v>
      </c>
      <c r="Q936" t="b">
        <f>COUNTIF($A$2:A936,A936)&gt;1</f>
        <v>0</v>
      </c>
    </row>
    <row r="937" spans="1:17">
      <c r="A937" s="3" t="s">
        <v>968</v>
      </c>
      <c r="B937" s="4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59.9</v>
      </c>
      <c r="Q937" t="b">
        <f>COUNTIF($A$2:A937,A937)&gt;1</f>
        <v>0</v>
      </c>
    </row>
    <row r="938" spans="1:17">
      <c r="A938" s="3" t="s">
        <v>969</v>
      </c>
      <c r="B938" s="4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82</v>
      </c>
      <c r="Q938" t="b">
        <f>COUNTIF($A$2:A938,A938)&gt;1</f>
        <v>0</v>
      </c>
    </row>
    <row r="939" spans="1:17">
      <c r="A939" s="3" t="s">
        <v>970</v>
      </c>
      <c r="B939" s="4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 s="3">
        <v>72.099999999999994</v>
      </c>
      <c r="Q939" t="b">
        <f>COUNTIF($A$2:A939,A939)&gt;1</f>
        <v>0</v>
      </c>
    </row>
    <row r="940" spans="1:17">
      <c r="A940" s="3" t="s">
        <v>971</v>
      </c>
      <c r="B940" s="4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68.3</v>
      </c>
      <c r="Q940" t="b">
        <f>COUNTIF($A$2:A940,A940)&gt;1</f>
        <v>0</v>
      </c>
    </row>
    <row r="941" spans="1:17">
      <c r="A941" s="3" t="s">
        <v>972</v>
      </c>
      <c r="B941" s="4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100</v>
      </c>
      <c r="Q941" t="b">
        <f>COUNTIF($A$2:A941,A941)&gt;1</f>
        <v>0</v>
      </c>
    </row>
    <row r="942" spans="1:17">
      <c r="A942" s="3" t="s">
        <v>973</v>
      </c>
      <c r="B942" s="4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 s="3">
        <v>76.5</v>
      </c>
      <c r="Q942" t="b">
        <f>COUNTIF($A$2:A942,A942)&gt;1</f>
        <v>0</v>
      </c>
    </row>
    <row r="943" spans="1:17">
      <c r="A943" s="3" t="s">
        <v>974</v>
      </c>
      <c r="B943" s="4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62</v>
      </c>
      <c r="Q943" t="b">
        <f>COUNTIF($A$2:A943,A943)&gt;1</f>
        <v>0</v>
      </c>
    </row>
    <row r="944" spans="1:17">
      <c r="A944" s="3" t="s">
        <v>975</v>
      </c>
      <c r="B944" s="4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 s="3">
        <v>50.1</v>
      </c>
      <c r="Q944" t="b">
        <f>COUNTIF($A$2:A944,A944)&gt;1</f>
        <v>0</v>
      </c>
    </row>
    <row r="945" spans="1:17">
      <c r="A945" s="3" t="s">
        <v>976</v>
      </c>
      <c r="B945" s="4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62.1</v>
      </c>
      <c r="Q945" t="b">
        <f>COUNTIF($A$2:A945,A945)&gt;1</f>
        <v>0</v>
      </c>
    </row>
    <row r="946" spans="1:17">
      <c r="A946" s="3" t="s">
        <v>977</v>
      </c>
      <c r="B946" s="4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49.7</v>
      </c>
      <c r="Q946" t="b">
        <f>COUNTIF($A$2:A946,A946)&gt;1</f>
        <v>0</v>
      </c>
    </row>
    <row r="947" spans="1:17">
      <c r="A947" s="3" t="s">
        <v>978</v>
      </c>
      <c r="B947" s="4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 s="3">
        <v>71.099999999999994</v>
      </c>
      <c r="Q947" t="b">
        <f>COUNTIF($A$2:A947,A947)&gt;1</f>
        <v>0</v>
      </c>
    </row>
    <row r="948" spans="1:17">
      <c r="A948" s="3" t="s">
        <v>979</v>
      </c>
      <c r="B948" s="4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70.8</v>
      </c>
      <c r="Q948" t="b">
        <f>COUNTIF($A$2:A948,A948)&gt;1</f>
        <v>0</v>
      </c>
    </row>
    <row r="949" spans="1:17">
      <c r="A949" s="3" t="s">
        <v>980</v>
      </c>
      <c r="B949" s="4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 s="3">
        <v>52.2</v>
      </c>
      <c r="Q949" t="b">
        <f>COUNTIF($A$2:A949,A949)&gt;1</f>
        <v>0</v>
      </c>
    </row>
    <row r="950" spans="1:17">
      <c r="A950" s="3" t="s">
        <v>981</v>
      </c>
      <c r="B950" s="4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73</v>
      </c>
      <c r="Q950" t="b">
        <f>COUNTIF($A$2:A950,A950)&gt;1</f>
        <v>0</v>
      </c>
    </row>
    <row r="951" spans="1:17">
      <c r="A951" s="3" t="s">
        <v>982</v>
      </c>
      <c r="B951" s="4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78.2</v>
      </c>
      <c r="Q951" t="b">
        <f>COUNTIF($A$2:A951,A951)&gt;1</f>
        <v>0</v>
      </c>
    </row>
    <row r="952" spans="1:17">
      <c r="A952" s="3" t="s">
        <v>983</v>
      </c>
      <c r="B952" s="4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68.8</v>
      </c>
      <c r="Q952" t="b">
        <f>COUNTIF($A$2:A952,A952)&gt;1</f>
        <v>0</v>
      </c>
    </row>
    <row r="953" spans="1:17">
      <c r="A953" s="3" t="s">
        <v>984</v>
      </c>
      <c r="B953" s="4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57.1</v>
      </c>
      <c r="Q953" t="b">
        <f>COUNTIF($A$2:A953,A953)&gt;1</f>
        <v>0</v>
      </c>
    </row>
    <row r="954" spans="1:17">
      <c r="A954" s="3" t="s">
        <v>985</v>
      </c>
      <c r="B954" s="4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 s="3">
        <v>74.599999999999994</v>
      </c>
      <c r="Q954" t="b">
        <f>COUNTIF($A$2:A954,A954)&gt;1</f>
        <v>0</v>
      </c>
    </row>
    <row r="955" spans="1:17">
      <c r="A955" s="3" t="s">
        <v>986</v>
      </c>
      <c r="B955" s="4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 s="3">
        <v>64.099999999999994</v>
      </c>
      <c r="Q955" t="b">
        <f>COUNTIF($A$2:A955,A955)&gt;1</f>
        <v>0</v>
      </c>
    </row>
    <row r="956" spans="1:17">
      <c r="A956" s="3" t="s">
        <v>987</v>
      </c>
      <c r="B956" s="4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67.3</v>
      </c>
      <c r="Q956" t="b">
        <f>COUNTIF($A$2:A956,A956)&gt;1</f>
        <v>0</v>
      </c>
    </row>
    <row r="957" spans="1:17">
      <c r="A957" s="3" t="s">
        <v>988</v>
      </c>
      <c r="B957" s="4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 s="3">
        <v>41</v>
      </c>
      <c r="Q957" t="b">
        <f>COUNTIF($A$2:A957,A957)&gt;1</f>
        <v>0</v>
      </c>
    </row>
    <row r="958" spans="1:17">
      <c r="A958" s="3" t="s">
        <v>989</v>
      </c>
      <c r="B958" s="4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48.1</v>
      </c>
      <c r="Q958" t="b">
        <f>COUNTIF($A$2:A958,A958)&gt;1</f>
        <v>0</v>
      </c>
    </row>
    <row r="959" spans="1:17">
      <c r="A959" s="3" t="s">
        <v>990</v>
      </c>
      <c r="B959" s="4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60.8</v>
      </c>
      <c r="Q959" t="b">
        <f>COUNTIF($A$2:A959,A959)&gt;1</f>
        <v>0</v>
      </c>
    </row>
    <row r="960" spans="1:17">
      <c r="A960" s="3" t="s">
        <v>991</v>
      </c>
      <c r="B960" s="4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63.1</v>
      </c>
      <c r="Q960" t="b">
        <f>COUNTIF($A$2:A960,A960)&gt;1</f>
        <v>0</v>
      </c>
    </row>
    <row r="961" spans="1:17">
      <c r="A961" s="3" t="s">
        <v>992</v>
      </c>
      <c r="B961" s="4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 s="3">
        <v>49.7</v>
      </c>
      <c r="Q961" t="b">
        <f>COUNTIF($A$2:A961,A961)&gt;1</f>
        <v>0</v>
      </c>
    </row>
    <row r="962" spans="1:17">
      <c r="A962" s="3" t="s">
        <v>993</v>
      </c>
      <c r="B962" s="4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 s="3">
        <v>83.4</v>
      </c>
      <c r="Q962" t="b">
        <f>COUNTIF($A$2:A962,A962)&gt;1</f>
        <v>0</v>
      </c>
    </row>
    <row r="963" spans="1:17">
      <c r="A963" s="3" t="s">
        <v>994</v>
      </c>
      <c r="B963" s="4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75.900000000000006</v>
      </c>
      <c r="Q963" t="b">
        <f>COUNTIF($A$2:A963,A963)&gt;1</f>
        <v>0</v>
      </c>
    </row>
    <row r="964" spans="1:17">
      <c r="A964" s="3" t="s">
        <v>995</v>
      </c>
      <c r="B964" s="4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 s="3">
        <v>71.8</v>
      </c>
      <c r="Q964" t="b">
        <f>COUNTIF($A$2:A964,A964)&gt;1</f>
        <v>0</v>
      </c>
    </row>
    <row r="965" spans="1:17">
      <c r="A965" s="3" t="s">
        <v>996</v>
      </c>
      <c r="B965" s="4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37.9</v>
      </c>
      <c r="Q965" t="b">
        <f>COUNTIF($A$2:A965,A965)&gt;1</f>
        <v>0</v>
      </c>
    </row>
    <row r="966" spans="1:17">
      <c r="A966" s="3" t="s">
        <v>997</v>
      </c>
      <c r="B966" s="4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59.8</v>
      </c>
      <c r="Q966" t="b">
        <f>COUNTIF($A$2:A966,A966)&gt;1</f>
        <v>0</v>
      </c>
    </row>
    <row r="967" spans="1:17">
      <c r="A967" s="3" t="s">
        <v>998</v>
      </c>
      <c r="B967" s="4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66.900000000000006</v>
      </c>
      <c r="Q967" t="b">
        <f>COUNTIF($A$2:A967,A967)&gt;1</f>
        <v>0</v>
      </c>
    </row>
    <row r="968" spans="1:17">
      <c r="A968" s="3" t="s">
        <v>999</v>
      </c>
      <c r="B968" s="4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 s="3">
        <v>59</v>
      </c>
      <c r="Q968" t="b">
        <f>COUNTIF($A$2:A968,A968)&gt;1</f>
        <v>0</v>
      </c>
    </row>
    <row r="969" spans="1:17">
      <c r="A969" s="3" t="s">
        <v>1000</v>
      </c>
      <c r="B969" s="4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80.099999999999994</v>
      </c>
      <c r="Q969" t="b">
        <f>COUNTIF($A$2:A969,A969)&gt;1</f>
        <v>0</v>
      </c>
    </row>
    <row r="970" spans="1:17">
      <c r="A970" s="3" t="s">
        <v>1001</v>
      </c>
      <c r="B970" s="4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64.3</v>
      </c>
      <c r="Q970" t="b">
        <f>COUNTIF($A$2:A970,A970)&gt;1</f>
        <v>0</v>
      </c>
    </row>
    <row r="971" spans="1:17">
      <c r="A971" s="3" t="s">
        <v>1002</v>
      </c>
      <c r="B971" s="4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 s="3">
        <v>57.4</v>
      </c>
      <c r="Q971" t="b">
        <f>COUNTIF($A$2:A971,A971)&gt;1</f>
        <v>0</v>
      </c>
    </row>
    <row r="972" spans="1:17">
      <c r="A972" s="3" t="s">
        <v>1003</v>
      </c>
      <c r="B972" s="4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 s="3">
        <v>83.6</v>
      </c>
      <c r="Q972" t="b">
        <f>COUNTIF($A$2:A972,A972)&gt;1</f>
        <v>0</v>
      </c>
    </row>
    <row r="973" spans="1:17">
      <c r="A973" s="3" t="s">
        <v>1004</v>
      </c>
      <c r="B973" s="4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45.8</v>
      </c>
      <c r="Q973" t="b">
        <f>COUNTIF($A$2:A973,A973)&gt;1</f>
        <v>0</v>
      </c>
    </row>
    <row r="974" spans="1:17">
      <c r="A974" s="3" t="s">
        <v>1005</v>
      </c>
      <c r="B974" s="4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64.3</v>
      </c>
      <c r="Q974" t="b">
        <f>COUNTIF($A$2:A974,A974)&gt;1</f>
        <v>0</v>
      </c>
    </row>
    <row r="975" spans="1:17">
      <c r="A975" s="3" t="s">
        <v>1006</v>
      </c>
      <c r="B975" s="4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80.5</v>
      </c>
      <c r="Q975" t="b">
        <f>COUNTIF($A$2:A975,A975)&gt;1</f>
        <v>0</v>
      </c>
    </row>
    <row r="976" spans="1:17">
      <c r="A976" s="3" t="s">
        <v>1007</v>
      </c>
      <c r="B976" s="4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46.3</v>
      </c>
      <c r="Q976" t="b">
        <f>COUNTIF($A$2:A976,A976)&gt;1</f>
        <v>0</v>
      </c>
    </row>
    <row r="977" spans="1:17">
      <c r="A977" s="3" t="s">
        <v>1008</v>
      </c>
      <c r="B977" s="4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71.599999999999994</v>
      </c>
      <c r="Q977" t="b">
        <f>COUNTIF($A$2:A977,A977)&gt;1</f>
        <v>0</v>
      </c>
    </row>
    <row r="978" spans="1:17">
      <c r="A978" s="3" t="s">
        <v>1009</v>
      </c>
      <c r="B978" s="4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 s="3">
        <v>57.8</v>
      </c>
      <c r="Q978" t="b">
        <f>COUNTIF($A$2:A978,A978)&gt;1</f>
        <v>0</v>
      </c>
    </row>
    <row r="979" spans="1:17">
      <c r="A979" s="3" t="s">
        <v>1010</v>
      </c>
      <c r="B979" s="4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57.8</v>
      </c>
      <c r="Q979" t="b">
        <f>COUNTIF($A$2:A979,A979)&gt;1</f>
        <v>0</v>
      </c>
    </row>
    <row r="980" spans="1:17">
      <c r="A980" s="3" t="s">
        <v>1011</v>
      </c>
      <c r="B980" s="4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38.299999999999997</v>
      </c>
      <c r="Q980" t="b">
        <f>COUNTIF($A$2:A980,A980)&gt;1</f>
        <v>0</v>
      </c>
    </row>
    <row r="981" spans="1:17">
      <c r="A981" s="3" t="s">
        <v>1012</v>
      </c>
      <c r="B981" s="4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 s="3">
        <v>66.099999999999994</v>
      </c>
      <c r="Q981" t="b">
        <f>COUNTIF($A$2:A981,A981)&gt;1</f>
        <v>0</v>
      </c>
    </row>
    <row r="982" spans="1:17">
      <c r="A982" s="3" t="s">
        <v>1013</v>
      </c>
      <c r="B982" s="4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66.5</v>
      </c>
      <c r="Q982" t="b">
        <f>COUNTIF($A$2:A982,A982)&gt;1</f>
        <v>0</v>
      </c>
    </row>
    <row r="983" spans="1:17">
      <c r="A983" s="3" t="s">
        <v>1014</v>
      </c>
      <c r="B983" s="4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 s="3">
        <v>51.5</v>
      </c>
      <c r="Q983" t="b">
        <f>COUNTIF($A$2:A983,A983)&gt;1</f>
        <v>0</v>
      </c>
    </row>
    <row r="984" spans="1:17">
      <c r="A984" s="3" t="s">
        <v>1015</v>
      </c>
      <c r="B984" s="4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59.9</v>
      </c>
      <c r="Q984" t="b">
        <f>COUNTIF($A$2:A984,A984)&gt;1</f>
        <v>0</v>
      </c>
    </row>
    <row r="985" spans="1:17">
      <c r="A985" s="3" t="s">
        <v>1016</v>
      </c>
      <c r="B985" s="4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 s="3">
        <v>58.8</v>
      </c>
      <c r="Q985" t="b">
        <f>COUNTIF($A$2:A985,A985)&gt;1</f>
        <v>0</v>
      </c>
    </row>
    <row r="986" spans="1:17">
      <c r="A986" s="3" t="s">
        <v>1017</v>
      </c>
      <c r="B986" s="4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 s="3">
        <v>69.599999999999994</v>
      </c>
      <c r="Q986" t="b">
        <f>COUNTIF($A$2:A986,A986)&gt;1</f>
        <v>0</v>
      </c>
    </row>
    <row r="987" spans="1:17">
      <c r="A987" s="3" t="s">
        <v>1018</v>
      </c>
      <c r="B987" s="4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77.5</v>
      </c>
      <c r="Q987" t="b">
        <f>COUNTIF($A$2:A987,A987)&gt;1</f>
        <v>0</v>
      </c>
    </row>
    <row r="988" spans="1:17">
      <c r="A988" s="3" t="s">
        <v>1019</v>
      </c>
      <c r="B988" s="4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 s="3">
        <v>57.5</v>
      </c>
      <c r="Q988" t="b">
        <f>COUNTIF($A$2:A988,A988)&gt;1</f>
        <v>0</v>
      </c>
    </row>
    <row r="989" spans="1:17">
      <c r="A989" s="3" t="s">
        <v>1020</v>
      </c>
      <c r="B989" s="4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64.2</v>
      </c>
      <c r="Q989" t="b">
        <f>COUNTIF($A$2:A989,A989)&gt;1</f>
        <v>0</v>
      </c>
    </row>
    <row r="990" spans="1:17">
      <c r="A990" s="3" t="s">
        <v>1021</v>
      </c>
      <c r="B990" s="4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60</v>
      </c>
      <c r="Q990" t="b">
        <f>COUNTIF($A$2:A990,A990)&gt;1</f>
        <v>0</v>
      </c>
    </row>
    <row r="991" spans="1:17">
      <c r="A991" s="3" t="s">
        <v>1022</v>
      </c>
      <c r="B991" s="4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 s="3">
        <v>43.7</v>
      </c>
      <c r="Q991" t="b">
        <f>COUNTIF($A$2:A991,A991)&gt;1</f>
        <v>0</v>
      </c>
    </row>
    <row r="992" spans="1:17">
      <c r="A992" s="3" t="s">
        <v>1023</v>
      </c>
      <c r="B992" s="4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64.900000000000006</v>
      </c>
      <c r="Q992" t="b">
        <f>COUNTIF($A$2:A992,A992)&gt;1</f>
        <v>0</v>
      </c>
    </row>
    <row r="993" spans="1:17">
      <c r="A993" s="3" t="s">
        <v>1024</v>
      </c>
      <c r="B993" s="4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45.5</v>
      </c>
      <c r="Q993" t="b">
        <f>COUNTIF($A$2:A993,A993)&gt;1</f>
        <v>0</v>
      </c>
    </row>
    <row r="994" spans="1:17">
      <c r="A994" s="3" t="s">
        <v>1025</v>
      </c>
      <c r="B994" s="4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 s="3">
        <v>61.2</v>
      </c>
      <c r="Q994" t="b">
        <f>COUNTIF($A$2:A994,A994)&gt;1</f>
        <v>0</v>
      </c>
    </row>
    <row r="995" spans="1:17">
      <c r="A995" s="3" t="s">
        <v>1026</v>
      </c>
      <c r="B995" s="4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 s="3">
        <v>87.8</v>
      </c>
      <c r="Q995" t="b">
        <f>COUNTIF($A$2:A995,A995)&gt;1</f>
        <v>0</v>
      </c>
    </row>
    <row r="996" spans="1:17">
      <c r="A996" s="3" t="s">
        <v>1027</v>
      </c>
      <c r="B996" s="4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86.4</v>
      </c>
      <c r="Q996" t="b">
        <f>COUNTIF($A$2:A996,A996)&gt;1</f>
        <v>0</v>
      </c>
    </row>
    <row r="997" spans="1:17">
      <c r="A997" s="3" t="s">
        <v>1028</v>
      </c>
      <c r="B997" s="4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 s="3">
        <v>71.400000000000006</v>
      </c>
      <c r="Q997" t="b">
        <f>COUNTIF($A$2:A997,A997)&gt;1</f>
        <v>0</v>
      </c>
    </row>
    <row r="998" spans="1:17">
      <c r="A998" s="3" t="s">
        <v>1029</v>
      </c>
      <c r="B998" s="4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 s="3">
        <v>72.2</v>
      </c>
      <c r="Q998" t="b">
        <f>COUNTIF($A$2:A998,A998)&gt;1</f>
        <v>0</v>
      </c>
    </row>
    <row r="999" spans="1:17">
      <c r="A999" s="3" t="s">
        <v>1030</v>
      </c>
      <c r="B999" s="4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51.9</v>
      </c>
      <c r="Q999" t="b">
        <f>COUNTIF($A$2:A999,A999)&gt;1</f>
        <v>0</v>
      </c>
    </row>
    <row r="1000" spans="1:17">
      <c r="A1000" s="3" t="s">
        <v>1031</v>
      </c>
      <c r="B1000" s="4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70.3</v>
      </c>
      <c r="Q1000" t="b">
        <f>COUNTIF($A$2:A1000,A1000)&gt;1</f>
        <v>0</v>
      </c>
    </row>
    <row r="1001" spans="1:17">
      <c r="A1001" s="3" t="s">
        <v>1032</v>
      </c>
      <c r="B1001" s="4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 s="3">
        <v>49.2</v>
      </c>
      <c r="Q1001" t="b">
        <f>COUNTIF($A$2:A1001,A1001)&gt;1</f>
        <v>0</v>
      </c>
    </row>
    <row r="1002" spans="1:17">
      <c r="A1002" s="3" t="s">
        <v>1033</v>
      </c>
      <c r="B1002" s="4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52.2</v>
      </c>
      <c r="Q1002" t="b">
        <f>COUNTIF($A$2:A1002,A1002)&gt;1</f>
        <v>0</v>
      </c>
    </row>
    <row r="1003" spans="1:17">
      <c r="A1003" s="3" t="s">
        <v>1034</v>
      </c>
      <c r="B1003" s="4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62.6</v>
      </c>
      <c r="Q1003" t="b">
        <f>COUNTIF($A$2:A1003,A1003)&gt;1</f>
        <v>0</v>
      </c>
    </row>
    <row r="1004" spans="1:17">
      <c r="A1004" s="3" t="s">
        <v>1035</v>
      </c>
      <c r="B1004" s="4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100</v>
      </c>
      <c r="Q1004" t="b">
        <f>COUNTIF($A$2:A1004,A1004)&gt;1</f>
        <v>0</v>
      </c>
    </row>
    <row r="1005" spans="1:17">
      <c r="A1005" s="3" t="s">
        <v>1036</v>
      </c>
      <c r="B1005" s="4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 s="3">
        <v>45.9</v>
      </c>
      <c r="Q1005" t="b">
        <f>COUNTIF($A$2:A1005,A1005)&gt;1</f>
        <v>0</v>
      </c>
    </row>
    <row r="1006" spans="1:17">
      <c r="A1006" s="3" t="s">
        <v>1037</v>
      </c>
      <c r="B1006" s="4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80.7</v>
      </c>
      <c r="Q1006" t="b">
        <f>COUNTIF($A$2:A1006,A1006)&gt;1</f>
        <v>0</v>
      </c>
    </row>
    <row r="1007" spans="1:17">
      <c r="A1007" s="3" t="s">
        <v>1038</v>
      </c>
      <c r="B1007" s="4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 s="3">
        <v>51.9</v>
      </c>
      <c r="Q1007" t="b">
        <f>COUNTIF($A$2:A1007,A1007)&gt;1</f>
        <v>0</v>
      </c>
    </row>
    <row r="1008" spans="1:17">
      <c r="A1008" s="3" t="s">
        <v>1039</v>
      </c>
      <c r="B1008" s="4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68.900000000000006</v>
      </c>
      <c r="Q1008" t="b">
        <f>COUNTIF($A$2:A1008,A1008)&gt;1</f>
        <v>0</v>
      </c>
    </row>
    <row r="1009" spans="1:17">
      <c r="A1009" s="3" t="s">
        <v>1040</v>
      </c>
      <c r="B1009" s="4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66</v>
      </c>
      <c r="Q1009" t="b">
        <f>COUNTIF($A$2:A1009,A1009)&gt;1</f>
        <v>0</v>
      </c>
    </row>
    <row r="1010" spans="1:17">
      <c r="A1010" s="3" t="s">
        <v>1041</v>
      </c>
      <c r="B1010" s="4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63.1</v>
      </c>
      <c r="Q1010" t="b">
        <f>COUNTIF($A$2:A1010,A1010)&gt;1</f>
        <v>0</v>
      </c>
    </row>
    <row r="1011" spans="1:17">
      <c r="A1011" s="3" t="s">
        <v>1042</v>
      </c>
      <c r="B1011" s="4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56</v>
      </c>
      <c r="Q1011" t="b">
        <f>COUNTIF($A$2:A1011,A1011)&gt;1</f>
        <v>0</v>
      </c>
    </row>
    <row r="1012" spans="1:17">
      <c r="A1012" s="3" t="s">
        <v>1043</v>
      </c>
      <c r="B1012" s="4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 s="3">
        <v>65.7</v>
      </c>
      <c r="Q1012" t="b">
        <f>COUNTIF($A$2:A1012,A1012)&gt;1</f>
        <v>0</v>
      </c>
    </row>
    <row r="1013" spans="1:17">
      <c r="A1013" s="3" t="s">
        <v>1044</v>
      </c>
      <c r="B1013" s="4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 s="3">
        <v>60.9</v>
      </c>
      <c r="Q1013" t="b">
        <f>COUNTIF($A$2:A1013,A1013)&gt;1</f>
        <v>0</v>
      </c>
    </row>
    <row r="1014" spans="1:17">
      <c r="A1014" s="3" t="s">
        <v>1045</v>
      </c>
      <c r="B1014" s="4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45.5</v>
      </c>
      <c r="Q1014" t="b">
        <f>COUNTIF($A$2:A1014,A1014)&gt;1</f>
        <v>0</v>
      </c>
    </row>
    <row r="1015" spans="1:17">
      <c r="A1015" s="3" t="s">
        <v>1046</v>
      </c>
      <c r="B1015" s="4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 s="3">
        <v>50</v>
      </c>
      <c r="Q1015" t="b">
        <f>COUNTIF($A$2:A1015,A1015)&gt;1</f>
        <v>0</v>
      </c>
    </row>
    <row r="1016" spans="1:17">
      <c r="A1016" s="3" t="s">
        <v>1047</v>
      </c>
      <c r="B1016" s="4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72.099999999999994</v>
      </c>
      <c r="Q1016" t="b">
        <f>COUNTIF($A$2:A1016,A1016)&gt;1</f>
        <v>0</v>
      </c>
    </row>
    <row r="1017" spans="1:17">
      <c r="A1017" s="3" t="s">
        <v>1048</v>
      </c>
      <c r="B1017" s="4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76.3</v>
      </c>
      <c r="Q1017" t="b">
        <f>COUNTIF($A$2:A1017,A1017)&gt;1</f>
        <v>0</v>
      </c>
    </row>
    <row r="1018" spans="1:17">
      <c r="A1018" s="3" t="s">
        <v>1049</v>
      </c>
      <c r="B1018" s="4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 s="3">
        <v>54.8</v>
      </c>
      <c r="Q1018" t="b">
        <f>COUNTIF($A$2:A1018,A1018)&gt;1</f>
        <v>0</v>
      </c>
    </row>
    <row r="1019" spans="1:17">
      <c r="A1019" s="3" t="s">
        <v>1050</v>
      </c>
      <c r="B1019" s="4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63.6</v>
      </c>
      <c r="Q1019" t="b">
        <f>COUNTIF($A$2:A1019,A1019)&gt;1</f>
        <v>0</v>
      </c>
    </row>
    <row r="1020" spans="1:17">
      <c r="A1020" s="3" t="s">
        <v>1051</v>
      </c>
      <c r="B1020" s="4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 s="3">
        <v>68.8</v>
      </c>
      <c r="Q1020" t="b">
        <f>COUNTIF($A$2:A1020,A1020)&gt;1</f>
        <v>0</v>
      </c>
    </row>
    <row r="1021" spans="1:17">
      <c r="A1021" s="3" t="s">
        <v>1052</v>
      </c>
      <c r="B1021" s="4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63.2</v>
      </c>
      <c r="Q1021" t="b">
        <f>COUNTIF($A$2:A1021,A1021)&gt;1</f>
        <v>0</v>
      </c>
    </row>
    <row r="1022" spans="1:17">
      <c r="A1022" s="3" t="s">
        <v>1053</v>
      </c>
      <c r="B1022" s="4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45</v>
      </c>
      <c r="Q1022" t="b">
        <f>COUNTIF($A$2:A1022,A1022)&gt;1</f>
        <v>0</v>
      </c>
    </row>
    <row r="1023" spans="1:17">
      <c r="A1023" s="3" t="s">
        <v>1054</v>
      </c>
      <c r="B1023" s="4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 s="3">
        <v>77.400000000000006</v>
      </c>
      <c r="Q1023" t="b">
        <f>COUNTIF($A$2:A1023,A1023)&gt;1</f>
        <v>0</v>
      </c>
    </row>
    <row r="1024" spans="1:17">
      <c r="A1024" s="3" t="s">
        <v>1055</v>
      </c>
      <c r="B1024" s="4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53.1</v>
      </c>
      <c r="Q1024" t="b">
        <f>COUNTIF($A$2:A1024,A1024)&gt;1</f>
        <v>0</v>
      </c>
    </row>
    <row r="1025" spans="1:17">
      <c r="A1025" s="3" t="s">
        <v>1056</v>
      </c>
      <c r="B1025" s="4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 s="3">
        <v>74</v>
      </c>
      <c r="Q1025" t="b">
        <f>COUNTIF($A$2:A1025,A1025)&gt;1</f>
        <v>0</v>
      </c>
    </row>
    <row r="1026" spans="1:17">
      <c r="A1026" s="3" t="s">
        <v>1057</v>
      </c>
      <c r="B1026" s="4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 s="3">
        <v>84.6</v>
      </c>
      <c r="Q1026" t="b">
        <f>COUNTIF($A$2:A1026,A1026)&gt;1</f>
        <v>0</v>
      </c>
    </row>
    <row r="1027" spans="1:17">
      <c r="A1027" s="3" t="s">
        <v>1058</v>
      </c>
      <c r="B1027" s="4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 s="3">
        <v>57</v>
      </c>
      <c r="Q1027" t="b">
        <f>COUNTIF($A$2:A1027,A1027)&gt;1</f>
        <v>0</v>
      </c>
    </row>
    <row r="1028" spans="1:17">
      <c r="A1028" s="3" t="s">
        <v>1059</v>
      </c>
      <c r="B1028" s="4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46.3</v>
      </c>
      <c r="Q1028" t="b">
        <f>COUNTIF($A$2:A1028,A1028)&gt;1</f>
        <v>0</v>
      </c>
    </row>
    <row r="1029" spans="1:17">
      <c r="A1029" s="3" t="s">
        <v>1060</v>
      </c>
      <c r="B1029" s="4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 s="3">
        <v>64.400000000000006</v>
      </c>
      <c r="Q1029" t="b">
        <f>COUNTIF($A$2:A1029,A1029)&gt;1</f>
        <v>0</v>
      </c>
    </row>
    <row r="1030" spans="1:17">
      <c r="A1030" s="3" t="s">
        <v>1061</v>
      </c>
      <c r="B1030" s="4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 s="3">
        <v>61.9</v>
      </c>
      <c r="Q1030" t="b">
        <f>COUNTIF($A$2:A1030,A1030)&gt;1</f>
        <v>0</v>
      </c>
    </row>
    <row r="1031" spans="1:17">
      <c r="A1031" s="3" t="s">
        <v>1062</v>
      </c>
      <c r="B1031" s="4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93.7</v>
      </c>
      <c r="Q1031" t="b">
        <f>COUNTIF($A$2:A1031,A1031)&gt;1</f>
        <v>0</v>
      </c>
    </row>
    <row r="1032" spans="1:17">
      <c r="A1032" s="3" t="s">
        <v>1063</v>
      </c>
      <c r="B1032" s="4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61.6</v>
      </c>
      <c r="Q1032" t="b">
        <f>COUNTIF($A$2:A1032,A1032)&gt;1</f>
        <v>0</v>
      </c>
    </row>
    <row r="1033" spans="1:17">
      <c r="A1033" s="3" t="s">
        <v>1064</v>
      </c>
      <c r="B1033" s="4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72.2</v>
      </c>
      <c r="Q1033" t="b">
        <f>COUNTIF($A$2:A1033,A1033)&gt;1</f>
        <v>0</v>
      </c>
    </row>
    <row r="1034" spans="1:17">
      <c r="A1034" s="3" t="s">
        <v>1065</v>
      </c>
      <c r="B1034" s="4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 s="3">
        <v>69.5</v>
      </c>
      <c r="Q1034" t="b">
        <f>COUNTIF($A$2:A1034,A1034)&gt;1</f>
        <v>0</v>
      </c>
    </row>
    <row r="1035" spans="1:17">
      <c r="A1035" s="3" t="s">
        <v>1066</v>
      </c>
      <c r="B1035" s="4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59.7</v>
      </c>
      <c r="Q1035" t="b">
        <f>COUNTIF($A$2:A1035,A1035)&gt;1</f>
        <v>0</v>
      </c>
    </row>
    <row r="1036" spans="1:17">
      <c r="A1036" s="3" t="s">
        <v>1067</v>
      </c>
      <c r="B1036" s="4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73.900000000000006</v>
      </c>
      <c r="Q1036" t="b">
        <f>COUNTIF($A$2:A1036,A1036)&gt;1</f>
        <v>0</v>
      </c>
    </row>
    <row r="1037" spans="1:17">
      <c r="A1037" s="3" t="s">
        <v>1068</v>
      </c>
      <c r="B1037" s="4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41.5</v>
      </c>
      <c r="Q1037" t="b">
        <f>COUNTIF($A$2:A1037,A1037)&gt;1</f>
        <v>0</v>
      </c>
    </row>
    <row r="1038" spans="1:17">
      <c r="A1038" s="3" t="s">
        <v>1069</v>
      </c>
      <c r="B1038" s="4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82.8</v>
      </c>
      <c r="Q1038" t="b">
        <f>COUNTIF($A$2:A1038,A1038)&gt;1</f>
        <v>0</v>
      </c>
    </row>
    <row r="1039" spans="1:17">
      <c r="A1039" s="3" t="s">
        <v>1070</v>
      </c>
      <c r="B1039" s="4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 s="3">
        <v>70.2</v>
      </c>
      <c r="Q1039" t="b">
        <f>COUNTIF($A$2:A1039,A1039)&gt;1</f>
        <v>0</v>
      </c>
    </row>
    <row r="1040" spans="1:17">
      <c r="A1040" s="3" t="s">
        <v>1071</v>
      </c>
      <c r="B1040" s="4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 s="3">
        <v>69.400000000000006</v>
      </c>
      <c r="Q1040" t="b">
        <f>COUNTIF($A$2:A1040,A1040)&gt;1</f>
        <v>0</v>
      </c>
    </row>
    <row r="1041" spans="1:17">
      <c r="A1041" s="3" t="s">
        <v>1072</v>
      </c>
      <c r="B1041" s="4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60.4</v>
      </c>
      <c r="Q1041" t="b">
        <f>COUNTIF($A$2:A1041,A1041)&gt;1</f>
        <v>0</v>
      </c>
    </row>
    <row r="1042" spans="1:17">
      <c r="A1042" s="3" t="s">
        <v>1073</v>
      </c>
      <c r="B1042" s="4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45.7</v>
      </c>
      <c r="Q1042" t="b">
        <f>COUNTIF($A$2:A1042,A1042)&gt;1</f>
        <v>0</v>
      </c>
    </row>
    <row r="1043" spans="1:17">
      <c r="A1043" s="3" t="s">
        <v>1074</v>
      </c>
      <c r="B1043" s="4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 s="3">
        <v>42.2</v>
      </c>
      <c r="Q1043" t="b">
        <f>COUNTIF($A$2:A1043,A1043)&gt;1</f>
        <v>0</v>
      </c>
    </row>
    <row r="1044" spans="1:17">
      <c r="A1044" s="3" t="s">
        <v>1075</v>
      </c>
      <c r="B1044" s="4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 s="3">
        <v>61.9</v>
      </c>
      <c r="Q1044" t="b">
        <f>COUNTIF($A$2:A1044,A1044)&gt;1</f>
        <v>0</v>
      </c>
    </row>
    <row r="1045" spans="1:17">
      <c r="A1045" s="3" t="s">
        <v>1076</v>
      </c>
      <c r="B1045" s="4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44.9</v>
      </c>
      <c r="Q1045" t="b">
        <f>COUNTIF($A$2:A1045,A1045)&gt;1</f>
        <v>0</v>
      </c>
    </row>
    <row r="1046" spans="1:17">
      <c r="A1046" s="3" t="s">
        <v>1077</v>
      </c>
      <c r="B1046" s="4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68</v>
      </c>
      <c r="Q1046" t="b">
        <f>COUNTIF($A$2:A1046,A1046)&gt;1</f>
        <v>0</v>
      </c>
    </row>
    <row r="1047" spans="1:17">
      <c r="A1047" s="3" t="s">
        <v>1078</v>
      </c>
      <c r="B1047" s="4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61</v>
      </c>
      <c r="Q1047" t="b">
        <f>COUNTIF($A$2:A1047,A1047)&gt;1</f>
        <v>0</v>
      </c>
    </row>
    <row r="1048" spans="1:17">
      <c r="A1048" s="3" t="s">
        <v>1079</v>
      </c>
      <c r="B1048" s="4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55</v>
      </c>
      <c r="Q1048" t="b">
        <f>COUNTIF($A$2:A1048,A1048)&gt;1</f>
        <v>0</v>
      </c>
    </row>
    <row r="1049" spans="1:17">
      <c r="A1049" s="3" t="s">
        <v>1080</v>
      </c>
      <c r="B1049" s="4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 s="3">
        <v>63.1</v>
      </c>
      <c r="Q1049" t="b">
        <f>COUNTIF($A$2:A1049,A1049)&gt;1</f>
        <v>0</v>
      </c>
    </row>
    <row r="1050" spans="1:17">
      <c r="A1050" s="3" t="s">
        <v>1081</v>
      </c>
      <c r="B1050" s="4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 s="3">
        <v>75.8</v>
      </c>
      <c r="Q1050" t="b">
        <f>COUNTIF($A$2:A1050,A1050)&gt;1</f>
        <v>0</v>
      </c>
    </row>
    <row r="1051" spans="1:17">
      <c r="A1051" s="3" t="s">
        <v>1082</v>
      </c>
      <c r="B1051" s="4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 s="3">
        <v>43.8</v>
      </c>
      <c r="Q1051" t="b">
        <f>COUNTIF($A$2:A1051,A1051)&gt;1</f>
        <v>0</v>
      </c>
    </row>
    <row r="1052" spans="1:17">
      <c r="A1052" s="3" t="s">
        <v>1083</v>
      </c>
      <c r="B1052" s="4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46.8</v>
      </c>
      <c r="Q1052" t="b">
        <f>COUNTIF($A$2:A1052,A1052)&gt;1</f>
        <v>0</v>
      </c>
    </row>
    <row r="1053" spans="1:17">
      <c r="A1053" s="3" t="s">
        <v>1084</v>
      </c>
      <c r="B1053" s="4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97.4</v>
      </c>
      <c r="Q1053" t="b">
        <f>COUNTIF($A$2:A1053,A1053)&gt;1</f>
        <v>0</v>
      </c>
    </row>
    <row r="1054" spans="1:17">
      <c r="A1054" s="3" t="s">
        <v>1085</v>
      </c>
      <c r="B1054" s="4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</v>
      </c>
      <c r="I1054" s="3">
        <v>1</v>
      </c>
      <c r="J1054" s="3">
        <v>1</v>
      </c>
      <c r="K1054" s="3">
        <v>1</v>
      </c>
      <c r="L1054" s="3">
        <v>268.95999999999998</v>
      </c>
      <c r="M1054" s="3">
        <v>0</v>
      </c>
      <c r="N1054" s="3">
        <v>0</v>
      </c>
      <c r="O1054" s="3">
        <v>14</v>
      </c>
      <c r="P1054" s="3">
        <v>81</v>
      </c>
      <c r="Q1054" t="b">
        <f>COUNTIF($A$2:A1054,A1054)&gt;1</f>
        <v>0</v>
      </c>
    </row>
    <row r="1055" spans="1:17">
      <c r="A1055" s="3" t="s">
        <v>1086</v>
      </c>
      <c r="B1055" s="4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 s="3">
        <v>58.9</v>
      </c>
      <c r="Q1055" t="b">
        <f>COUNTIF($A$2:A1055,A1055)&gt;1</f>
        <v>0</v>
      </c>
    </row>
    <row r="1056" spans="1:17">
      <c r="A1056" s="3" t="s">
        <v>1087</v>
      </c>
      <c r="B1056" s="4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51.9</v>
      </c>
      <c r="Q1056" t="b">
        <f>COUNTIF($A$2:A1056,A1056)&gt;1</f>
        <v>0</v>
      </c>
    </row>
    <row r="1057" spans="1:17">
      <c r="A1057" s="3" t="s">
        <v>1088</v>
      </c>
      <c r="B1057" s="4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61.7</v>
      </c>
      <c r="Q1057" t="b">
        <f>COUNTIF($A$2:A1057,A1057)&gt;1</f>
        <v>0</v>
      </c>
    </row>
    <row r="1058" spans="1:17">
      <c r="A1058" s="3" t="s">
        <v>1089</v>
      </c>
      <c r="B1058" s="4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44.7</v>
      </c>
      <c r="Q1058" t="b">
        <f>COUNTIF($A$2:A1058,A1058)&gt;1</f>
        <v>0</v>
      </c>
    </row>
    <row r="1059" spans="1:17">
      <c r="A1059" s="3" t="s">
        <v>1090</v>
      </c>
      <c r="B1059" s="4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 s="3">
        <v>63.2</v>
      </c>
      <c r="Q1059" t="b">
        <f>COUNTIF($A$2:A1059,A1059)&gt;1</f>
        <v>0</v>
      </c>
    </row>
    <row r="1060" spans="1:17">
      <c r="A1060" s="3" t="s">
        <v>1091</v>
      </c>
      <c r="B1060" s="4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 s="3">
        <v>70.3</v>
      </c>
      <c r="Q1060" t="b">
        <f>COUNTIF($A$2:A1060,A1060)&gt;1</f>
        <v>0</v>
      </c>
    </row>
    <row r="1061" spans="1:17">
      <c r="A1061" s="3" t="s">
        <v>1092</v>
      </c>
      <c r="B1061" s="4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 s="3">
        <v>83.1</v>
      </c>
      <c r="Q1061" t="b">
        <f>COUNTIF($A$2:A1061,A1061)&gt;1</f>
        <v>0</v>
      </c>
    </row>
    <row r="1062" spans="1:17">
      <c r="A1062" s="3" t="s">
        <v>1093</v>
      </c>
      <c r="B1062" s="4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50.3</v>
      </c>
      <c r="Q1062" t="b">
        <f>COUNTIF($A$2:A1062,A1062)&gt;1</f>
        <v>0</v>
      </c>
    </row>
    <row r="1063" spans="1:17">
      <c r="A1063" s="3" t="s">
        <v>1094</v>
      </c>
      <c r="B1063" s="4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 s="3">
        <v>58.2</v>
      </c>
      <c r="Q1063" t="b">
        <f>COUNTIF($A$2:A1063,A1063)&gt;1</f>
        <v>0</v>
      </c>
    </row>
    <row r="1064" spans="1:17">
      <c r="A1064" s="3" t="s">
        <v>1095</v>
      </c>
      <c r="B1064" s="4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 s="3">
        <v>53.2</v>
      </c>
      <c r="Q1064" t="b">
        <f>COUNTIF($A$2:A1064,A1064)&gt;1</f>
        <v>0</v>
      </c>
    </row>
    <row r="1065" spans="1:17">
      <c r="A1065" s="3" t="s">
        <v>1096</v>
      </c>
      <c r="B1065" s="4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36.4</v>
      </c>
      <c r="Q1065" t="b">
        <f>COUNTIF($A$2:A1065,A1065)&gt;1</f>
        <v>0</v>
      </c>
    </row>
    <row r="1066" spans="1:17">
      <c r="A1066" s="3" t="s">
        <v>1097</v>
      </c>
      <c r="B1066" s="4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72.7</v>
      </c>
      <c r="Q1066" t="b">
        <f>COUNTIF($A$2:A1066,A1066)&gt;1</f>
        <v>0</v>
      </c>
    </row>
    <row r="1067" spans="1:17">
      <c r="A1067" s="3" t="s">
        <v>1098</v>
      </c>
      <c r="B1067" s="4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 s="3">
        <v>86.7</v>
      </c>
      <c r="Q1067" t="b">
        <f>COUNTIF($A$2:A1067,A1067)&gt;1</f>
        <v>0</v>
      </c>
    </row>
    <row r="1068" spans="1:17">
      <c r="A1068" s="3" t="s">
        <v>1099</v>
      </c>
      <c r="B1068" s="4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48.2</v>
      </c>
      <c r="Q1068" t="b">
        <f>COUNTIF($A$2:A1068,A1068)&gt;1</f>
        <v>0</v>
      </c>
    </row>
    <row r="1069" spans="1:17">
      <c r="A1069" s="3" t="s">
        <v>1100</v>
      </c>
      <c r="B1069" s="4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 s="3">
        <v>57.6</v>
      </c>
      <c r="Q1069" t="b">
        <f>COUNTIF($A$2:A1069,A1069)&gt;1</f>
        <v>0</v>
      </c>
    </row>
    <row r="1070" spans="1:17">
      <c r="A1070" s="3" t="s">
        <v>1101</v>
      </c>
      <c r="B1070" s="4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75.7</v>
      </c>
      <c r="Q1070" t="b">
        <f>COUNTIF($A$2:A1070,A1070)&gt;1</f>
        <v>0</v>
      </c>
    </row>
    <row r="1071" spans="1:17">
      <c r="A1071" s="3" t="s">
        <v>1102</v>
      </c>
      <c r="B1071" s="4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 s="3">
        <v>48.6</v>
      </c>
      <c r="Q1071" t="b">
        <f>COUNTIF($A$2:A1071,A1071)&gt;1</f>
        <v>0</v>
      </c>
    </row>
    <row r="1072" spans="1:17">
      <c r="A1072" s="3" t="s">
        <v>1103</v>
      </c>
      <c r="B1072" s="4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72</v>
      </c>
      <c r="Q1072" t="b">
        <f>COUNTIF($A$2:A1072,A1072)&gt;1</f>
        <v>0</v>
      </c>
    </row>
    <row r="1073" spans="1:17">
      <c r="A1073" s="3" t="s">
        <v>1104</v>
      </c>
      <c r="B1073" s="4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72.2</v>
      </c>
      <c r="Q1073" t="b">
        <f>COUNTIF($A$2:A1073,A1073)&gt;1</f>
        <v>0</v>
      </c>
    </row>
    <row r="1074" spans="1:17">
      <c r="A1074" s="3" t="s">
        <v>1105</v>
      </c>
      <c r="B1074" s="4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/>
      <c r="Q1074" t="b">
        <f>COUNTIF($A$2:A1074,A1074)&gt;1</f>
        <v>0</v>
      </c>
    </row>
    <row r="1075" spans="1:17">
      <c r="A1075" s="3" t="s">
        <v>1106</v>
      </c>
      <c r="B1075" s="4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 s="3">
        <v>56.8</v>
      </c>
      <c r="Q1075" t="b">
        <f>COUNTIF($A$2:A1075,A1075)&gt;1</f>
        <v>0</v>
      </c>
    </row>
    <row r="1076" spans="1:17">
      <c r="A1076" s="3" t="s">
        <v>1107</v>
      </c>
      <c r="B1076" s="4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62.5</v>
      </c>
      <c r="Q1076" t="b">
        <f>COUNTIF($A$2:A1076,A1076)&gt;1</f>
        <v>0</v>
      </c>
    </row>
    <row r="1077" spans="1:17">
      <c r="A1077" s="3" t="s">
        <v>1108</v>
      </c>
      <c r="B1077" s="4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63.4</v>
      </c>
      <c r="Q1077" t="b">
        <f>COUNTIF($A$2:A1077,A1077)&gt;1</f>
        <v>0</v>
      </c>
    </row>
    <row r="1078" spans="1:17">
      <c r="A1078" s="3" t="s">
        <v>1109</v>
      </c>
      <c r="B1078" s="4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 s="3">
        <v>46.8</v>
      </c>
      <c r="Q1078" t="b">
        <f>COUNTIF($A$2:A1078,A1078)&gt;1</f>
        <v>0</v>
      </c>
    </row>
    <row r="1079" spans="1:17">
      <c r="A1079" s="3" t="s">
        <v>1110</v>
      </c>
      <c r="B1079" s="4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 s="3">
        <v>86.5</v>
      </c>
      <c r="Q1079" t="b">
        <f>COUNTIF($A$2:A1079,A1079)&gt;1</f>
        <v>0</v>
      </c>
    </row>
    <row r="1080" spans="1:17">
      <c r="A1080" s="3" t="s">
        <v>1111</v>
      </c>
      <c r="B1080" s="4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 s="3">
        <v>75.099999999999994</v>
      </c>
      <c r="Q1080" t="b">
        <f>COUNTIF($A$2:A1080,A1080)&gt;1</f>
        <v>0</v>
      </c>
    </row>
    <row r="1081" spans="1:17">
      <c r="A1081" s="3" t="s">
        <v>1112</v>
      </c>
      <c r="B1081" s="4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64.5</v>
      </c>
      <c r="Q1081" t="b">
        <f>COUNTIF($A$2:A1081,A1081)&gt;1</f>
        <v>0</v>
      </c>
    </row>
    <row r="1082" spans="1:17">
      <c r="A1082" s="3" t="s">
        <v>1113</v>
      </c>
      <c r="B1082" s="4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54.2</v>
      </c>
      <c r="Q1082" t="b">
        <f>COUNTIF($A$2:A1082,A1082)&gt;1</f>
        <v>0</v>
      </c>
    </row>
    <row r="1083" spans="1:17">
      <c r="A1083" s="3" t="s">
        <v>1114</v>
      </c>
      <c r="B1083" s="4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84.1</v>
      </c>
      <c r="Q1083" t="b">
        <f>COUNTIF($A$2:A1083,A1083)&gt;1</f>
        <v>0</v>
      </c>
    </row>
    <row r="1084" spans="1:17">
      <c r="A1084" s="3" t="s">
        <v>1115</v>
      </c>
      <c r="B1084" s="4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49.1</v>
      </c>
      <c r="Q1084" t="b">
        <f>COUNTIF($A$2:A1084,A1084)&gt;1</f>
        <v>0</v>
      </c>
    </row>
    <row r="1085" spans="1:17">
      <c r="A1085" s="3" t="s">
        <v>1116</v>
      </c>
      <c r="B1085" s="4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92.7</v>
      </c>
      <c r="Q1085" t="b">
        <f>COUNTIF($A$2:A1085,A1085)&gt;1</f>
        <v>0</v>
      </c>
    </row>
    <row r="1086" spans="1:17">
      <c r="A1086" s="3" t="s">
        <v>1117</v>
      </c>
      <c r="B1086" s="4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58.7</v>
      </c>
      <c r="Q1086" t="b">
        <f>COUNTIF($A$2:A1086,A1086)&gt;1</f>
        <v>0</v>
      </c>
    </row>
    <row r="1087" spans="1:17">
      <c r="A1087" s="3" t="s">
        <v>1118</v>
      </c>
      <c r="B1087" s="4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59.3</v>
      </c>
      <c r="Q1087" t="b">
        <f>COUNTIF($A$2:A1087,A1087)&gt;1</f>
        <v>0</v>
      </c>
    </row>
    <row r="1088" spans="1:17">
      <c r="A1088" s="3" t="s">
        <v>1119</v>
      </c>
      <c r="B1088" s="4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 s="3">
        <v>62</v>
      </c>
      <c r="Q1088" t="b">
        <f>COUNTIF($A$2:A1088,A1088)&gt;1</f>
        <v>0</v>
      </c>
    </row>
    <row r="1089" spans="1:17">
      <c r="A1089" s="3" t="s">
        <v>1120</v>
      </c>
      <c r="B1089" s="4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 s="3">
        <v>60.3</v>
      </c>
      <c r="Q1089" t="b">
        <f>COUNTIF($A$2:A1089,A1089)&gt;1</f>
        <v>0</v>
      </c>
    </row>
    <row r="1090" spans="1:17">
      <c r="A1090" s="3" t="s">
        <v>1121</v>
      </c>
      <c r="B1090" s="4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70.5</v>
      </c>
      <c r="Q1090" t="b">
        <f>COUNTIF($A$2:A1090,A1090)&gt;1</f>
        <v>0</v>
      </c>
    </row>
    <row r="1091" spans="1:17">
      <c r="A1091" s="3" t="s">
        <v>1122</v>
      </c>
      <c r="B1091" s="4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 s="3">
        <v>36.799999999999997</v>
      </c>
      <c r="Q1091" t="b">
        <f>COUNTIF($A$2:A1091,A1091)&gt;1</f>
        <v>0</v>
      </c>
    </row>
    <row r="1092" spans="1:17">
      <c r="A1092" s="3" t="s">
        <v>1123</v>
      </c>
      <c r="B1092" s="4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 s="3">
        <v>73.2</v>
      </c>
      <c r="Q1092" t="b">
        <f>COUNTIF($A$2:A1092,A1092)&gt;1</f>
        <v>0</v>
      </c>
    </row>
    <row r="1093" spans="1:17">
      <c r="A1093" s="3" t="s">
        <v>1124</v>
      </c>
      <c r="B1093" s="4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70.099999999999994</v>
      </c>
      <c r="Q1093" t="b">
        <f>COUNTIF($A$2:A1093,A1093)&gt;1</f>
        <v>0</v>
      </c>
    </row>
    <row r="1094" spans="1:17">
      <c r="A1094" s="3" t="s">
        <v>1125</v>
      </c>
      <c r="B1094" s="4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 s="3">
        <v>76.400000000000006</v>
      </c>
      <c r="Q1094" t="b">
        <f>COUNTIF($A$2:A1094,A1094)&gt;1</f>
        <v>0</v>
      </c>
    </row>
    <row r="1095" spans="1:17">
      <c r="A1095" s="3" t="s">
        <v>1126</v>
      </c>
      <c r="B1095" s="4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46.4</v>
      </c>
      <c r="Q1095" t="b">
        <f>COUNTIF($A$2:A1095,A1095)&gt;1</f>
        <v>0</v>
      </c>
    </row>
    <row r="1096" spans="1:17">
      <c r="A1096" s="3" t="s">
        <v>1127</v>
      </c>
      <c r="B1096" s="4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 s="3">
        <v>81.3</v>
      </c>
      <c r="Q1096" t="b">
        <f>COUNTIF($A$2:A1096,A1096)&gt;1</f>
        <v>0</v>
      </c>
    </row>
    <row r="1097" spans="1:17">
      <c r="A1097" s="3" t="s">
        <v>1128</v>
      </c>
      <c r="B1097" s="4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55.3</v>
      </c>
      <c r="Q1097" t="b">
        <f>COUNTIF($A$2:A1097,A1097)&gt;1</f>
        <v>0</v>
      </c>
    </row>
    <row r="1098" spans="1:17">
      <c r="A1098" s="3" t="s">
        <v>1129</v>
      </c>
      <c r="B1098" s="4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 s="3">
        <v>44.7</v>
      </c>
      <c r="Q1098" t="b">
        <f>COUNTIF($A$2:A1098,A1098)&gt;1</f>
        <v>0</v>
      </c>
    </row>
    <row r="1099" spans="1:17">
      <c r="A1099" s="3" t="s">
        <v>1130</v>
      </c>
      <c r="B1099" s="4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67.2</v>
      </c>
      <c r="Q1099" t="b">
        <f>COUNTIF($A$2:A1099,A1099)&gt;1</f>
        <v>0</v>
      </c>
    </row>
    <row r="1100" spans="1:17">
      <c r="A1100" s="3" t="s">
        <v>1131</v>
      </c>
      <c r="B1100" s="4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 s="3"/>
      <c r="Q1100" t="b">
        <f>COUNTIF($A$2:A1100,A1100)&gt;1</f>
        <v>0</v>
      </c>
    </row>
    <row r="1101" spans="1:17">
      <c r="A1101" s="3" t="s">
        <v>1132</v>
      </c>
      <c r="B1101" s="4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 s="3">
        <v>70.8</v>
      </c>
      <c r="Q1101" t="b">
        <f>COUNTIF($A$2:A1101,A1101)&gt;1</f>
        <v>0</v>
      </c>
    </row>
    <row r="1102" spans="1:17">
      <c r="A1102" s="3" t="s">
        <v>1133</v>
      </c>
      <c r="B1102" s="4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71.3</v>
      </c>
      <c r="Q1102" t="b">
        <f>COUNTIF($A$2:A1102,A1102)&gt;1</f>
        <v>0</v>
      </c>
    </row>
    <row r="1103" spans="1:17">
      <c r="A1103" s="3" t="s">
        <v>1134</v>
      </c>
      <c r="B1103" s="4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 s="3">
        <v>69.400000000000006</v>
      </c>
      <c r="Q1103" t="b">
        <f>COUNTIF($A$2:A1103,A1103)&gt;1</f>
        <v>0</v>
      </c>
    </row>
    <row r="1104" spans="1:17">
      <c r="A1104" s="3" t="s">
        <v>1135</v>
      </c>
      <c r="B1104" s="4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58.9</v>
      </c>
      <c r="Q1104" t="b">
        <f>COUNTIF($A$2:A1104,A1104)&gt;1</f>
        <v>0</v>
      </c>
    </row>
    <row r="1105" spans="1:17">
      <c r="A1105" s="3" t="s">
        <v>1136</v>
      </c>
      <c r="B1105" s="4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70.7</v>
      </c>
      <c r="Q1105" t="b">
        <f>COUNTIF($A$2:A1105,A1105)&gt;1</f>
        <v>0</v>
      </c>
    </row>
    <row r="1106" spans="1:17">
      <c r="A1106" s="3" t="s">
        <v>1137</v>
      </c>
      <c r="B1106" s="4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 s="3">
        <v>60.5</v>
      </c>
      <c r="Q1106" t="b">
        <f>COUNTIF($A$2:A1106,A1106)&gt;1</f>
        <v>0</v>
      </c>
    </row>
    <row r="1107" spans="1:17">
      <c r="A1107" s="3" t="s">
        <v>1138</v>
      </c>
      <c r="B1107" s="4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77.3</v>
      </c>
      <c r="Q1107" t="b">
        <f>COUNTIF($A$2:A1107,A1107)&gt;1</f>
        <v>0</v>
      </c>
    </row>
    <row r="1108" spans="1:17">
      <c r="A1108" s="3" t="s">
        <v>1139</v>
      </c>
      <c r="B1108" s="4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 s="3">
        <v>39.5</v>
      </c>
      <c r="Q1108" t="b">
        <f>COUNTIF($A$2:A1108,A1108)&gt;1</f>
        <v>0</v>
      </c>
    </row>
    <row r="1109" spans="1:17">
      <c r="A1109" s="3" t="s">
        <v>1140</v>
      </c>
      <c r="B1109" s="4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68.099999999999994</v>
      </c>
      <c r="Q1109" t="b">
        <f>COUNTIF($A$2:A1109,A1109)&gt;1</f>
        <v>0</v>
      </c>
    </row>
    <row r="1110" spans="1:17">
      <c r="A1110" s="3" t="s">
        <v>1141</v>
      </c>
      <c r="B1110" s="4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 s="3">
        <v>80.3</v>
      </c>
      <c r="Q1110" t="b">
        <f>COUNTIF($A$2:A1110,A1110)&gt;1</f>
        <v>0</v>
      </c>
    </row>
    <row r="1111" spans="1:17">
      <c r="A1111" s="3" t="s">
        <v>1142</v>
      </c>
      <c r="B1111" s="4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77.7</v>
      </c>
      <c r="Q1111" t="b">
        <f>COUNTIF($A$2:A1111,A1111)&gt;1</f>
        <v>0</v>
      </c>
    </row>
    <row r="1112" spans="1:17">
      <c r="A1112" s="3" t="s">
        <v>1143</v>
      </c>
      <c r="B1112" s="4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 s="3">
        <v>66.2</v>
      </c>
      <c r="Q1112" t="b">
        <f>COUNTIF($A$2:A1112,A1112)&gt;1</f>
        <v>0</v>
      </c>
    </row>
    <row r="1113" spans="1:17">
      <c r="A1113" s="3" t="s">
        <v>1144</v>
      </c>
      <c r="B1113" s="4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 s="3">
        <v>43.9</v>
      </c>
      <c r="Q1113" t="b">
        <f>COUNTIF($A$2:A1113,A1113)&gt;1</f>
        <v>0</v>
      </c>
    </row>
    <row r="1114" spans="1:17">
      <c r="A1114" s="3" t="s">
        <v>1145</v>
      </c>
      <c r="B1114" s="4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 s="3">
        <v>59.1</v>
      </c>
      <c r="Q1114" t="b">
        <f>COUNTIF($A$2:A1114,A1114)&gt;1</f>
        <v>0</v>
      </c>
    </row>
    <row r="1115" spans="1:17">
      <c r="A1115" s="3" t="s">
        <v>1146</v>
      </c>
      <c r="B1115" s="4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 s="3">
        <v>67</v>
      </c>
      <c r="Q1115" t="b">
        <f>COUNTIF($A$2:A1115,A1115)&gt;1</f>
        <v>0</v>
      </c>
    </row>
    <row r="1116" spans="1:17">
      <c r="A1116" s="3" t="s">
        <v>1147</v>
      </c>
      <c r="B1116" s="4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47.9</v>
      </c>
      <c r="Q1116" t="b">
        <f>COUNTIF($A$2:A1116,A1116)&gt;1</f>
        <v>0</v>
      </c>
    </row>
    <row r="1117" spans="1:17">
      <c r="A1117" s="3" t="s">
        <v>1148</v>
      </c>
      <c r="B1117" s="4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41.5</v>
      </c>
      <c r="Q1117" t="b">
        <f>COUNTIF($A$2:A1117,A1117)&gt;1</f>
        <v>0</v>
      </c>
    </row>
    <row r="1118" spans="1:17">
      <c r="A1118" s="3" t="s">
        <v>1149</v>
      </c>
      <c r="B1118" s="4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 s="3">
        <v>30.6</v>
      </c>
      <c r="Q1118" t="b">
        <f>COUNTIF($A$2:A1118,A1118)&gt;1</f>
        <v>0</v>
      </c>
    </row>
    <row r="1119" spans="1:17">
      <c r="A1119" s="3" t="s">
        <v>1150</v>
      </c>
      <c r="B1119" s="4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91.5</v>
      </c>
      <c r="Q1119" t="b">
        <f>COUNTIF($A$2:A1119,A1119)&gt;1</f>
        <v>0</v>
      </c>
    </row>
    <row r="1120" spans="1:17">
      <c r="A1120" s="3" t="s">
        <v>1151</v>
      </c>
      <c r="B1120" s="4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80.8</v>
      </c>
      <c r="Q1120" t="b">
        <f>COUNTIF($A$2:A1120,A1120)&gt;1</f>
        <v>0</v>
      </c>
    </row>
    <row r="1121" spans="1:17">
      <c r="A1121" s="3" t="s">
        <v>1152</v>
      </c>
      <c r="B1121" s="4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68.099999999999994</v>
      </c>
      <c r="Q1121" t="b">
        <f>COUNTIF($A$2:A1121,A1121)&gt;1</f>
        <v>0</v>
      </c>
    </row>
    <row r="1122" spans="1:17">
      <c r="A1122" s="3" t="s">
        <v>1153</v>
      </c>
      <c r="B1122" s="4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 s="3">
        <v>80.3</v>
      </c>
      <c r="Q1122" t="b">
        <f>COUNTIF($A$2:A1122,A1122)&gt;1</f>
        <v>0</v>
      </c>
    </row>
    <row r="1123" spans="1:17">
      <c r="A1123" s="3" t="s">
        <v>1154</v>
      </c>
      <c r="B1123" s="4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44.4</v>
      </c>
      <c r="Q1123" t="b">
        <f>COUNTIF($A$2:A1123,A1123)&gt;1</f>
        <v>0</v>
      </c>
    </row>
    <row r="1124" spans="1:17">
      <c r="A1124" s="3" t="s">
        <v>1155</v>
      </c>
      <c r="B1124" s="4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51.9</v>
      </c>
      <c r="Q1124" t="b">
        <f>COUNTIF($A$2:A1124,A1124)&gt;1</f>
        <v>0</v>
      </c>
    </row>
    <row r="1125" spans="1:17">
      <c r="A1125" s="3" t="s">
        <v>1156</v>
      </c>
      <c r="B1125" s="4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49.8</v>
      </c>
      <c r="Q1125" t="b">
        <f>COUNTIF($A$2:A1125,A1125)&gt;1</f>
        <v>0</v>
      </c>
    </row>
    <row r="1126" spans="1:17">
      <c r="A1126" s="3" t="s">
        <v>1157</v>
      </c>
      <c r="B1126" s="4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 s="3">
        <v>62.1</v>
      </c>
      <c r="Q1126" t="b">
        <f>COUNTIF($A$2:A1126,A1126)&gt;1</f>
        <v>0</v>
      </c>
    </row>
    <row r="1127" spans="1:17">
      <c r="A1127" s="3" t="s">
        <v>1158</v>
      </c>
      <c r="B1127" s="4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 s="3">
        <v>91.3</v>
      </c>
      <c r="Q1127" t="b">
        <f>COUNTIF($A$2:A1127,A1127)&gt;1</f>
        <v>0</v>
      </c>
    </row>
    <row r="1128" spans="1:17">
      <c r="A1128" s="3" t="s">
        <v>1159</v>
      </c>
      <c r="B1128" s="4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 s="3">
        <v>66.400000000000006</v>
      </c>
      <c r="Q1128" t="b">
        <f>COUNTIF($A$2:A1128,A1128)&gt;1</f>
        <v>0</v>
      </c>
    </row>
    <row r="1129" spans="1:17">
      <c r="A1129" s="3" t="s">
        <v>1160</v>
      </c>
      <c r="B1129" s="4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41.5</v>
      </c>
      <c r="Q1129" t="b">
        <f>COUNTIF($A$2:A1129,A1129)&gt;1</f>
        <v>0</v>
      </c>
    </row>
    <row r="1130" spans="1:17">
      <c r="A1130" s="3" t="s">
        <v>1161</v>
      </c>
      <c r="B1130" s="4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77.099999999999994</v>
      </c>
      <c r="Q1130" t="b">
        <f>COUNTIF($A$2:A1130,A1130)&gt;1</f>
        <v>0</v>
      </c>
    </row>
    <row r="1131" spans="1:17">
      <c r="A1131" s="3" t="s">
        <v>1162</v>
      </c>
      <c r="B1131" s="4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 s="3">
        <v>63.2</v>
      </c>
      <c r="Q1131" t="b">
        <f>COUNTIF($A$2:A1131,A1131)&gt;1</f>
        <v>0</v>
      </c>
    </row>
    <row r="1132" spans="1:17">
      <c r="A1132" s="3" t="s">
        <v>1163</v>
      </c>
      <c r="B1132" s="4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 s="3">
        <v>75.7</v>
      </c>
      <c r="Q1132" t="b">
        <f>COUNTIF($A$2:A1132,A1132)&gt;1</f>
        <v>0</v>
      </c>
    </row>
    <row r="1133" spans="1:17">
      <c r="A1133" s="3" t="s">
        <v>1164</v>
      </c>
      <c r="B1133" s="4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62.9</v>
      </c>
      <c r="Q1133" t="b">
        <f>COUNTIF($A$2:A1133,A1133)&gt;1</f>
        <v>0</v>
      </c>
    </row>
    <row r="1134" spans="1:17">
      <c r="A1134" s="3" t="s">
        <v>1165</v>
      </c>
      <c r="B1134" s="4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 s="3">
        <v>64.599999999999994</v>
      </c>
      <c r="Q1134" t="b">
        <f>COUNTIF($A$2:A1134,A1134)&gt;1</f>
        <v>0</v>
      </c>
    </row>
    <row r="1135" spans="1:17">
      <c r="A1135" s="3" t="s">
        <v>1166</v>
      </c>
      <c r="B1135" s="4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76.599999999999994</v>
      </c>
      <c r="Q1135" t="b">
        <f>COUNTIF($A$2:A1135,A1135)&gt;1</f>
        <v>0</v>
      </c>
    </row>
    <row r="1136" spans="1:17">
      <c r="A1136" s="3" t="s">
        <v>1167</v>
      </c>
      <c r="B1136" s="4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74.8</v>
      </c>
      <c r="Q1136" t="b">
        <f>COUNTIF($A$2:A1136,A1136)&gt;1</f>
        <v>0</v>
      </c>
    </row>
    <row r="1137" spans="1:17">
      <c r="A1137" s="3" t="s">
        <v>1168</v>
      </c>
      <c r="B1137" s="4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 s="3">
        <v>38.1</v>
      </c>
      <c r="Q1137" t="b">
        <f>COUNTIF($A$2:A1137,A1137)&gt;1</f>
        <v>0</v>
      </c>
    </row>
    <row r="1138" spans="1:17">
      <c r="A1138" s="3" t="s">
        <v>1169</v>
      </c>
      <c r="B1138" s="4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60.2</v>
      </c>
      <c r="Q1138" t="b">
        <f>COUNTIF($A$2:A1138,A1138)&gt;1</f>
        <v>0</v>
      </c>
    </row>
    <row r="1139" spans="1:17">
      <c r="A1139" s="3" t="s">
        <v>1170</v>
      </c>
      <c r="B1139" s="4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 s="3">
        <v>73.5</v>
      </c>
      <c r="Q1139" t="b">
        <f>COUNTIF($A$2:A1139,A1139)&gt;1</f>
        <v>0</v>
      </c>
    </row>
    <row r="1140" spans="1:17">
      <c r="A1140" s="3" t="s">
        <v>1171</v>
      </c>
      <c r="B1140" s="4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70.900000000000006</v>
      </c>
      <c r="Q1140" t="b">
        <f>COUNTIF($A$2:A1140,A1140)&gt;1</f>
        <v>0</v>
      </c>
    </row>
    <row r="1141" spans="1:17">
      <c r="A1141" s="3" t="s">
        <v>1172</v>
      </c>
      <c r="B1141" s="4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63.7</v>
      </c>
      <c r="Q1141" t="b">
        <f>COUNTIF($A$2:A1141,A1141)&gt;1</f>
        <v>0</v>
      </c>
    </row>
    <row r="1142" spans="1:17">
      <c r="A1142" s="3" t="s">
        <v>1173</v>
      </c>
      <c r="B1142" s="4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86.5</v>
      </c>
      <c r="Q1142" t="b">
        <f>COUNTIF($A$2:A1142,A1142)&gt;1</f>
        <v>0</v>
      </c>
    </row>
    <row r="1143" spans="1:17">
      <c r="A1143" s="3" t="s">
        <v>1174</v>
      </c>
      <c r="B1143" s="4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 s="3">
        <v>74.599999999999994</v>
      </c>
      <c r="Q1143" t="b">
        <f>COUNTIF($A$2:A1143,A1143)&gt;1</f>
        <v>0</v>
      </c>
    </row>
    <row r="1144" spans="1:17">
      <c r="A1144" s="3" t="s">
        <v>1175</v>
      </c>
      <c r="B1144" s="4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46.6</v>
      </c>
      <c r="Q1144" t="b">
        <f>COUNTIF($A$2:A1144,A1144)&gt;1</f>
        <v>0</v>
      </c>
    </row>
    <row r="1145" spans="1:17">
      <c r="A1145" s="3" t="s">
        <v>1176</v>
      </c>
      <c r="B1145" s="4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 s="3">
        <v>61.2</v>
      </c>
      <c r="Q1145" t="b">
        <f>COUNTIF($A$2:A1145,A1145)&gt;1</f>
        <v>0</v>
      </c>
    </row>
    <row r="1146" spans="1:17">
      <c r="A1146" s="3" t="s">
        <v>1177</v>
      </c>
      <c r="B1146" s="4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 s="3">
        <v>54.4</v>
      </c>
      <c r="Q1146" t="b">
        <f>COUNTIF($A$2:A1146,A1146)&gt;1</f>
        <v>0</v>
      </c>
    </row>
    <row r="1147" spans="1:17">
      <c r="A1147" s="3" t="s">
        <v>1178</v>
      </c>
      <c r="B1147" s="4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 s="3">
        <v>72</v>
      </c>
      <c r="Q1147" t="b">
        <f>COUNTIF($A$2:A1147,A1147)&gt;1</f>
        <v>0</v>
      </c>
    </row>
    <row r="1148" spans="1:17">
      <c r="A1148" s="3" t="s">
        <v>1179</v>
      </c>
      <c r="B1148" s="4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 s="3">
        <v>88.6</v>
      </c>
      <c r="Q1148" t="b">
        <f>COUNTIF($A$2:A1148,A1148)&gt;1</f>
        <v>0</v>
      </c>
    </row>
    <row r="1149" spans="1:17">
      <c r="A1149" s="3" t="s">
        <v>1180</v>
      </c>
      <c r="B1149" s="4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77.599999999999994</v>
      </c>
      <c r="Q1149" t="b">
        <f>COUNTIF($A$2:A1149,A1149)&gt;1</f>
        <v>0</v>
      </c>
    </row>
    <row r="1150" spans="1:17">
      <c r="A1150" s="3" t="s">
        <v>1181</v>
      </c>
      <c r="B1150" s="4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 s="3">
        <v>44.3</v>
      </c>
      <c r="Q1150" t="b">
        <f>COUNTIF($A$2:A1150,A1150)&gt;1</f>
        <v>0</v>
      </c>
    </row>
    <row r="1151" spans="1:17">
      <c r="A1151" s="3" t="s">
        <v>1182</v>
      </c>
      <c r="B1151" s="4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49</v>
      </c>
      <c r="Q1151" t="b">
        <f>COUNTIF($A$2:A1151,A1151)&gt;1</f>
        <v>0</v>
      </c>
    </row>
    <row r="1152" spans="1:17">
      <c r="A1152" s="3" t="s">
        <v>1183</v>
      </c>
      <c r="B1152" s="4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53.9</v>
      </c>
      <c r="Q1152" t="b">
        <f>COUNTIF($A$2:A1152,A1152)&gt;1</f>
        <v>0</v>
      </c>
    </row>
    <row r="1153" spans="1:17">
      <c r="A1153" s="3" t="s">
        <v>1184</v>
      </c>
      <c r="B1153" s="4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 s="3">
        <v>69</v>
      </c>
      <c r="Q1153" t="b">
        <f>COUNTIF($A$2:A1153,A1153)&gt;1</f>
        <v>0</v>
      </c>
    </row>
    <row r="1154" spans="1:17">
      <c r="A1154" s="3" t="s">
        <v>1185</v>
      </c>
      <c r="B1154" s="4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37.4</v>
      </c>
      <c r="Q1154" t="b">
        <f>COUNTIF($A$2:A1154,A1154)&gt;1</f>
        <v>0</v>
      </c>
    </row>
    <row r="1155" spans="1:17">
      <c r="A1155" s="3" t="s">
        <v>1186</v>
      </c>
      <c r="B1155" s="4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59</v>
      </c>
      <c r="Q1155" t="b">
        <f>COUNTIF($A$2:A1155,A1155)&gt;1</f>
        <v>0</v>
      </c>
    </row>
    <row r="1156" spans="1:17">
      <c r="A1156" s="3" t="s">
        <v>1187</v>
      </c>
      <c r="B1156" s="4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60.8</v>
      </c>
      <c r="Q1156" t="b">
        <f>COUNTIF($A$2:A1156,A1156)&gt;1</f>
        <v>0</v>
      </c>
    </row>
    <row r="1157" spans="1:17">
      <c r="A1157" s="3" t="s">
        <v>1188</v>
      </c>
      <c r="B1157" s="4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57.5</v>
      </c>
      <c r="Q1157" t="b">
        <f>COUNTIF($A$2:A1157,A1157)&gt;1</f>
        <v>0</v>
      </c>
    </row>
    <row r="1158" spans="1:17">
      <c r="A1158" s="3" t="s">
        <v>1189</v>
      </c>
      <c r="B1158" s="4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84.2</v>
      </c>
      <c r="Q1158" t="b">
        <f>COUNTIF($A$2:A1158,A1158)&gt;1</f>
        <v>0</v>
      </c>
    </row>
    <row r="1159" spans="1:17">
      <c r="A1159" s="3" t="s">
        <v>1190</v>
      </c>
      <c r="B1159" s="4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27.4</v>
      </c>
      <c r="Q1159" t="b">
        <f>COUNTIF($A$2:A1159,A1159)&gt;1</f>
        <v>0</v>
      </c>
    </row>
    <row r="1160" spans="1:17">
      <c r="A1160" s="3" t="s">
        <v>1191</v>
      </c>
      <c r="B1160" s="4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67.599999999999994</v>
      </c>
      <c r="Q1160" t="b">
        <f>COUNTIF($A$2:A1160,A1160)&gt;1</f>
        <v>0</v>
      </c>
    </row>
    <row r="1161" spans="1:17">
      <c r="A1161" s="3" t="s">
        <v>1192</v>
      </c>
      <c r="B1161" s="4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68.400000000000006</v>
      </c>
      <c r="Q1161" t="b">
        <f>COUNTIF($A$2:A1161,A1161)&gt;1</f>
        <v>0</v>
      </c>
    </row>
    <row r="1162" spans="1:17">
      <c r="A1162" s="3" t="s">
        <v>1193</v>
      </c>
      <c r="B1162" s="4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66.5</v>
      </c>
      <c r="Q1162" t="b">
        <f>COUNTIF($A$2:A1162,A1162)&gt;1</f>
        <v>0</v>
      </c>
    </row>
    <row r="1163" spans="1:17">
      <c r="A1163" s="3" t="s">
        <v>1194</v>
      </c>
      <c r="B1163" s="4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 s="3">
        <v>38.200000000000003</v>
      </c>
      <c r="Q1163" t="b">
        <f>COUNTIF($A$2:A1163,A1163)&gt;1</f>
        <v>0</v>
      </c>
    </row>
    <row r="1164" spans="1:17">
      <c r="A1164" s="3" t="s">
        <v>1195</v>
      </c>
      <c r="B1164" s="4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 s="3">
        <v>66.7</v>
      </c>
      <c r="Q1164" t="b">
        <f>COUNTIF($A$2:A1164,A1164)&gt;1</f>
        <v>0</v>
      </c>
    </row>
    <row r="1165" spans="1:17">
      <c r="A1165" s="3" t="s">
        <v>1196</v>
      </c>
      <c r="B1165" s="4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 s="3">
        <v>73.7</v>
      </c>
      <c r="Q1165" t="b">
        <f>COUNTIF($A$2:A1165,A1165)&gt;1</f>
        <v>0</v>
      </c>
    </row>
    <row r="1166" spans="1:17">
      <c r="A1166" s="3" t="s">
        <v>1197</v>
      </c>
      <c r="B1166" s="4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63.9</v>
      </c>
      <c r="Q1166" t="b">
        <f>COUNTIF($A$2:A1166,A1166)&gt;1</f>
        <v>0</v>
      </c>
    </row>
    <row r="1167" spans="1:17">
      <c r="A1167" s="3" t="s">
        <v>1198</v>
      </c>
      <c r="B1167" s="4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 s="3">
        <v>82.6</v>
      </c>
      <c r="Q1167" t="b">
        <f>COUNTIF($A$2:A1167,A1167)&gt;1</f>
        <v>0</v>
      </c>
    </row>
    <row r="1168" spans="1:17">
      <c r="A1168" s="3" t="s">
        <v>1199</v>
      </c>
      <c r="B1168" s="4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 s="3">
        <v>58.3</v>
      </c>
      <c r="Q1168" t="b">
        <f>COUNTIF($A$2:A1168,A1168)&gt;1</f>
        <v>0</v>
      </c>
    </row>
    <row r="1169" spans="1:17">
      <c r="A1169" s="3" t="s">
        <v>1200</v>
      </c>
      <c r="B1169" s="4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 s="3">
        <v>72.900000000000006</v>
      </c>
      <c r="Q1169" t="b">
        <f>COUNTIF($A$2:A1169,A1169)&gt;1</f>
        <v>0</v>
      </c>
    </row>
    <row r="1170" spans="1:17">
      <c r="A1170" s="3" t="s">
        <v>1201</v>
      </c>
      <c r="B1170" s="4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 s="3">
        <v>53.5</v>
      </c>
      <c r="Q1170" t="b">
        <f>COUNTIF($A$2:A1170,A1170)&gt;1</f>
        <v>0</v>
      </c>
    </row>
    <row r="1171" spans="1:17">
      <c r="A1171" s="3" t="s">
        <v>1202</v>
      </c>
      <c r="B1171" s="4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54.8</v>
      </c>
      <c r="Q1171" t="b">
        <f>COUNTIF($A$2:A1171,A1171)&gt;1</f>
        <v>0</v>
      </c>
    </row>
    <row r="1172" spans="1:17">
      <c r="A1172" s="3" t="s">
        <v>1203</v>
      </c>
      <c r="B1172" s="4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69.5</v>
      </c>
      <c r="Q1172" t="b">
        <f>COUNTIF($A$2:A1172,A1172)&gt;1</f>
        <v>0</v>
      </c>
    </row>
    <row r="1173" spans="1:17">
      <c r="A1173" s="3" t="s">
        <v>1204</v>
      </c>
      <c r="B1173" s="4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 s="3">
        <v>71.3</v>
      </c>
      <c r="Q1173" t="b">
        <f>COUNTIF($A$2:A1173,A1173)&gt;1</f>
        <v>0</v>
      </c>
    </row>
    <row r="1174" spans="1:17">
      <c r="A1174" s="3" t="s">
        <v>1205</v>
      </c>
      <c r="B1174" s="4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57.5</v>
      </c>
      <c r="Q1174" t="b">
        <f>COUNTIF($A$2:A1174,A1174)&gt;1</f>
        <v>0</v>
      </c>
    </row>
    <row r="1175" spans="1:17">
      <c r="A1175" s="3" t="s">
        <v>1206</v>
      </c>
      <c r="B1175" s="4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 s="3">
        <v>50.9</v>
      </c>
      <c r="Q1175" t="b">
        <f>COUNTIF($A$2:A1175,A1175)&gt;1</f>
        <v>0</v>
      </c>
    </row>
    <row r="1176" spans="1:17">
      <c r="A1176" s="3" t="s">
        <v>1207</v>
      </c>
      <c r="B1176" s="4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69.3</v>
      </c>
      <c r="Q1176" t="b">
        <f>COUNTIF($A$2:A1176,A1176)&gt;1</f>
        <v>0</v>
      </c>
    </row>
    <row r="1177" spans="1:17">
      <c r="A1177" s="3" t="s">
        <v>1208</v>
      </c>
      <c r="B1177" s="4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 s="3">
        <v>50.1</v>
      </c>
      <c r="Q1177" t="b">
        <f>COUNTIF($A$2:A1177,A1177)&gt;1</f>
        <v>0</v>
      </c>
    </row>
    <row r="1178" spans="1:17">
      <c r="A1178" s="3" t="s">
        <v>1209</v>
      </c>
      <c r="B1178" s="4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 s="3">
        <v>69.7</v>
      </c>
      <c r="Q1178" t="b">
        <f>COUNTIF($A$2:A1178,A1178)&gt;1</f>
        <v>0</v>
      </c>
    </row>
    <row r="1179" spans="1:17">
      <c r="A1179" s="3" t="s">
        <v>1210</v>
      </c>
      <c r="B1179" s="4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 s="3">
        <v>63.5</v>
      </c>
      <c r="Q1179" t="b">
        <f>COUNTIF($A$2:A1179,A1179)&gt;1</f>
        <v>0</v>
      </c>
    </row>
    <row r="1180" spans="1:17">
      <c r="A1180" s="3" t="s">
        <v>1211</v>
      </c>
      <c r="B1180" s="4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</v>
      </c>
      <c r="I1180" s="3">
        <v>1</v>
      </c>
      <c r="J1180" s="3">
        <v>1</v>
      </c>
      <c r="K1180" s="3">
        <v>1</v>
      </c>
      <c r="L1180" s="3">
        <v>265.58999999999997</v>
      </c>
      <c r="M1180" s="3">
        <v>1</v>
      </c>
      <c r="N1180" s="3">
        <v>0</v>
      </c>
      <c r="O1180" s="3">
        <v>8</v>
      </c>
      <c r="P1180" s="3">
        <v>80.400000000000006</v>
      </c>
      <c r="Q1180" t="b">
        <f>COUNTIF($A$2:A1180,A1180)&gt;1</f>
        <v>0</v>
      </c>
    </row>
    <row r="1181" spans="1:17">
      <c r="A1181" s="3" t="s">
        <v>1212</v>
      </c>
      <c r="B1181" s="4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58.9</v>
      </c>
      <c r="Q1181" t="b">
        <f>COUNTIF($A$2:A1181,A1181)&gt;1</f>
        <v>0</v>
      </c>
    </row>
    <row r="1182" spans="1:17">
      <c r="A1182" s="3" t="s">
        <v>1213</v>
      </c>
      <c r="B1182" s="4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 s="3">
        <v>56.8</v>
      </c>
      <c r="Q1182" t="b">
        <f>COUNTIF($A$2:A1182,A1182)&gt;1</f>
        <v>0</v>
      </c>
    </row>
    <row r="1183" spans="1:17">
      <c r="A1183" s="3" t="s">
        <v>1214</v>
      </c>
      <c r="B1183" s="4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 s="3">
        <v>73.900000000000006</v>
      </c>
      <c r="Q1183" t="b">
        <f>COUNTIF($A$2:A1183,A1183)&gt;1</f>
        <v>0</v>
      </c>
    </row>
    <row r="1184" spans="1:17">
      <c r="A1184" s="3" t="s">
        <v>1215</v>
      </c>
      <c r="B1184" s="4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 s="3">
        <v>76.3</v>
      </c>
      <c r="Q1184" t="b">
        <f>COUNTIF($A$2:A1184,A1184)&gt;1</f>
        <v>0</v>
      </c>
    </row>
    <row r="1185" spans="1:17">
      <c r="A1185" s="3" t="s">
        <v>1216</v>
      </c>
      <c r="B1185" s="4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56.9</v>
      </c>
      <c r="Q1185" t="b">
        <f>COUNTIF($A$2:A1185,A1185)&gt;1</f>
        <v>0</v>
      </c>
    </row>
    <row r="1186" spans="1:17">
      <c r="A1186" s="3" t="s">
        <v>1217</v>
      </c>
      <c r="B1186" s="4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 s="3">
        <v>49.4</v>
      </c>
      <c r="Q1186" t="b">
        <f>COUNTIF($A$2:A1186,A1186)&gt;1</f>
        <v>0</v>
      </c>
    </row>
    <row r="1187" spans="1:17">
      <c r="A1187" s="3" t="s">
        <v>1218</v>
      </c>
      <c r="B1187" s="4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86.7</v>
      </c>
      <c r="Q1187" t="b">
        <f>COUNTIF($A$2:A1187,A1187)&gt;1</f>
        <v>0</v>
      </c>
    </row>
    <row r="1188" spans="1:17">
      <c r="A1188" s="3" t="s">
        <v>1219</v>
      </c>
      <c r="B1188" s="4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 s="3">
        <v>69</v>
      </c>
      <c r="Q1188" t="b">
        <f>COUNTIF($A$2:A1188,A1188)&gt;1</f>
        <v>0</v>
      </c>
    </row>
    <row r="1189" spans="1:17">
      <c r="A1189" s="3" t="s">
        <v>1220</v>
      </c>
      <c r="B1189" s="4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84.5</v>
      </c>
      <c r="Q1189" t="b">
        <f>COUNTIF($A$2:A1189,A1189)&gt;1</f>
        <v>0</v>
      </c>
    </row>
    <row r="1190" spans="1:17">
      <c r="A1190" s="3" t="s">
        <v>1221</v>
      </c>
      <c r="B1190" s="4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66.3</v>
      </c>
      <c r="Q1190" t="b">
        <f>COUNTIF($A$2:A1190,A1190)&gt;1</f>
        <v>0</v>
      </c>
    </row>
    <row r="1191" spans="1:17">
      <c r="A1191" s="3" t="s">
        <v>1222</v>
      </c>
      <c r="B1191" s="4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52.2</v>
      </c>
      <c r="Q1191" t="b">
        <f>COUNTIF($A$2:A1191,A1191)&gt;1</f>
        <v>0</v>
      </c>
    </row>
    <row r="1192" spans="1:17">
      <c r="A1192" s="3" t="s">
        <v>1223</v>
      </c>
      <c r="B1192" s="4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81.2</v>
      </c>
      <c r="Q1192" t="b">
        <f>COUNTIF($A$2:A1192,A1192)&gt;1</f>
        <v>0</v>
      </c>
    </row>
    <row r="1193" spans="1:17">
      <c r="A1193" s="3" t="s">
        <v>1224</v>
      </c>
      <c r="B1193" s="4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53.9</v>
      </c>
      <c r="Q1193" t="b">
        <f>COUNTIF($A$2:A1193,A1193)&gt;1</f>
        <v>0</v>
      </c>
    </row>
    <row r="1194" spans="1:17">
      <c r="A1194" s="3" t="s">
        <v>1225</v>
      </c>
      <c r="B1194" s="4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 s="3">
        <v>39.1</v>
      </c>
      <c r="Q1194" t="b">
        <f>COUNTIF($A$2:A1194,A1194)&gt;1</f>
        <v>0</v>
      </c>
    </row>
    <row r="1195" spans="1:17">
      <c r="A1195" s="3" t="s">
        <v>1226</v>
      </c>
      <c r="B1195" s="4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57.3</v>
      </c>
      <c r="Q1195" t="b">
        <f>COUNTIF($A$2:A1195,A1195)&gt;1</f>
        <v>0</v>
      </c>
    </row>
    <row r="1196" spans="1:17">
      <c r="A1196" s="3" t="s">
        <v>1227</v>
      </c>
      <c r="B1196" s="4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 s="3">
        <v>65.900000000000006</v>
      </c>
      <c r="Q1196" t="b">
        <f>COUNTIF($A$2:A1196,A1196)&gt;1</f>
        <v>0</v>
      </c>
    </row>
    <row r="1197" spans="1:17">
      <c r="A1197" s="3" t="s">
        <v>1228</v>
      </c>
      <c r="B1197" s="4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 s="3">
        <v>34.200000000000003</v>
      </c>
      <c r="Q1197" t="b">
        <f>COUNTIF($A$2:A1197,A1197)&gt;1</f>
        <v>0</v>
      </c>
    </row>
    <row r="1198" spans="1:17">
      <c r="A1198" s="3" t="s">
        <v>1229</v>
      </c>
      <c r="B1198" s="4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47.2</v>
      </c>
      <c r="Q1198" t="b">
        <f>COUNTIF($A$2:A1198,A1198)&gt;1</f>
        <v>0</v>
      </c>
    </row>
    <row r="1199" spans="1:17">
      <c r="A1199" s="3" t="s">
        <v>1230</v>
      </c>
      <c r="B1199" s="4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 s="3">
        <v>55</v>
      </c>
      <c r="Q1199" t="b">
        <f>COUNTIF($A$2:A1199,A1199)&gt;1</f>
        <v>0</v>
      </c>
    </row>
    <row r="1200" spans="1:17">
      <c r="A1200" s="3" t="s">
        <v>1231</v>
      </c>
      <c r="B1200" s="4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76.400000000000006</v>
      </c>
      <c r="Q1200" t="b">
        <f>COUNTIF($A$2:A1200,A1200)&gt;1</f>
        <v>0</v>
      </c>
    </row>
    <row r="1201" spans="1:17">
      <c r="A1201" s="3" t="s">
        <v>1232</v>
      </c>
      <c r="B1201" s="4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70.8</v>
      </c>
      <c r="Q1201" t="b">
        <f>COUNTIF($A$2:A1201,A1201)&gt;1</f>
        <v>0</v>
      </c>
    </row>
    <row r="1202" spans="1:17">
      <c r="A1202" s="3" t="s">
        <v>1233</v>
      </c>
      <c r="B1202" s="4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 s="3">
        <v>58</v>
      </c>
      <c r="Q1202" t="b">
        <f>COUNTIF($A$2:A1202,A1202)&gt;1</f>
        <v>0</v>
      </c>
    </row>
    <row r="1203" spans="1:17">
      <c r="A1203" s="3" t="s">
        <v>1234</v>
      </c>
      <c r="B1203" s="4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 s="3">
        <v>70.8</v>
      </c>
      <c r="Q1203" t="b">
        <f>COUNTIF($A$2:A1203,A1203)&gt;1</f>
        <v>0</v>
      </c>
    </row>
    <row r="1204" spans="1:17">
      <c r="A1204" s="3" t="s">
        <v>1235</v>
      </c>
      <c r="B1204" s="4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 s="3">
        <v>60</v>
      </c>
      <c r="Q1204" t="b">
        <f>COUNTIF($A$2:A1204,A1204)&gt;1</f>
        <v>0</v>
      </c>
    </row>
    <row r="1205" spans="1:17">
      <c r="A1205" s="3" t="s">
        <v>1236</v>
      </c>
      <c r="B1205" s="4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 s="3">
        <v>58.1</v>
      </c>
      <c r="Q1205" t="b">
        <f>COUNTIF($A$2:A1205,A1205)&gt;1</f>
        <v>0</v>
      </c>
    </row>
    <row r="1206" spans="1:17">
      <c r="A1206" s="3" t="s">
        <v>1237</v>
      </c>
      <c r="B1206" s="4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59.7</v>
      </c>
      <c r="Q1206" t="b">
        <f>COUNTIF($A$2:A1206,A1206)&gt;1</f>
        <v>0</v>
      </c>
    </row>
    <row r="1207" spans="1:17">
      <c r="A1207" s="3" t="s">
        <v>1238</v>
      </c>
      <c r="B1207" s="4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 s="3">
        <v>47.7</v>
      </c>
      <c r="Q1207" t="b">
        <f>COUNTIF($A$2:A1207,A1207)&gt;1</f>
        <v>0</v>
      </c>
    </row>
    <row r="1208" spans="1:17">
      <c r="A1208" s="3" t="s">
        <v>1239</v>
      </c>
      <c r="B1208" s="4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59.1</v>
      </c>
      <c r="Q1208" t="b">
        <f>COUNTIF($A$2:A1208,A1208)&gt;1</f>
        <v>0</v>
      </c>
    </row>
    <row r="1209" spans="1:17">
      <c r="A1209" s="3" t="s">
        <v>1240</v>
      </c>
      <c r="B1209" s="4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 s="3">
        <v>68.7</v>
      </c>
      <c r="Q1209" t="b">
        <f>COUNTIF($A$2:A1209,A1209)&gt;1</f>
        <v>0</v>
      </c>
    </row>
    <row r="1210" spans="1:17">
      <c r="A1210" s="3" t="s">
        <v>1241</v>
      </c>
      <c r="B1210" s="4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 s="3">
        <v>34.700000000000003</v>
      </c>
      <c r="Q1210" t="b">
        <f>COUNTIF($A$2:A1210,A1210)&gt;1</f>
        <v>0</v>
      </c>
    </row>
    <row r="1211" spans="1:17">
      <c r="A1211" s="3" t="s">
        <v>1242</v>
      </c>
      <c r="B1211" s="4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 s="3">
        <v>62</v>
      </c>
      <c r="Q1211" t="b">
        <f>COUNTIF($A$2:A1211,A1211)&gt;1</f>
        <v>0</v>
      </c>
    </row>
    <row r="1212" spans="1:17">
      <c r="A1212" s="3" t="s">
        <v>1243</v>
      </c>
      <c r="B1212" s="4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 s="3">
        <v>56</v>
      </c>
      <c r="Q1212" t="b">
        <f>COUNTIF($A$2:A1212,A1212)&gt;1</f>
        <v>0</v>
      </c>
    </row>
    <row r="1213" spans="1:17">
      <c r="A1213" s="3" t="s">
        <v>1244</v>
      </c>
      <c r="B1213" s="4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 s="3">
        <v>65.8</v>
      </c>
      <c r="Q1213" t="b">
        <f>COUNTIF($A$2:A1213,A1213)&gt;1</f>
        <v>0</v>
      </c>
    </row>
    <row r="1214" spans="1:17">
      <c r="A1214" s="3" t="s">
        <v>1245</v>
      </c>
      <c r="B1214" s="4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54.7</v>
      </c>
      <c r="Q1214" t="b">
        <f>COUNTIF($A$2:A1214,A1214)&gt;1</f>
        <v>0</v>
      </c>
    </row>
    <row r="1215" spans="1:17">
      <c r="A1215" s="3" t="s">
        <v>1246</v>
      </c>
      <c r="B1215" s="4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64.099999999999994</v>
      </c>
      <c r="Q1215" t="b">
        <f>COUNTIF($A$2:A1215,A1215)&gt;1</f>
        <v>0</v>
      </c>
    </row>
    <row r="1216" spans="1:17">
      <c r="A1216" s="3" t="s">
        <v>1247</v>
      </c>
      <c r="B1216" s="4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71.599999999999994</v>
      </c>
      <c r="Q1216" t="b">
        <f>COUNTIF($A$2:A1216,A1216)&gt;1</f>
        <v>0</v>
      </c>
    </row>
    <row r="1217" spans="1:17">
      <c r="A1217" s="3" t="s">
        <v>1248</v>
      </c>
      <c r="B1217" s="4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 s="3">
        <v>78.400000000000006</v>
      </c>
      <c r="Q1217" t="b">
        <f>COUNTIF($A$2:A1217,A1217)&gt;1</f>
        <v>0</v>
      </c>
    </row>
    <row r="1218" spans="1:17">
      <c r="A1218" s="3" t="s">
        <v>1249</v>
      </c>
      <c r="B1218" s="4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49.3</v>
      </c>
      <c r="Q1218" t="b">
        <f>COUNTIF($A$2:A1218,A1218)&gt;1</f>
        <v>0</v>
      </c>
    </row>
    <row r="1219" spans="1:17">
      <c r="A1219" s="3" t="s">
        <v>1250</v>
      </c>
      <c r="B1219" s="4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52.8</v>
      </c>
      <c r="Q1219" t="b">
        <f>COUNTIF($A$2:A1219,A1219)&gt;1</f>
        <v>0</v>
      </c>
    </row>
    <row r="1220" spans="1:17">
      <c r="A1220" s="3" t="s">
        <v>1251</v>
      </c>
      <c r="B1220" s="4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 s="3">
        <v>58.5</v>
      </c>
      <c r="Q1220" t="b">
        <f>COUNTIF($A$2:A1220,A1220)&gt;1</f>
        <v>0</v>
      </c>
    </row>
    <row r="1221" spans="1:17">
      <c r="A1221" s="3" t="s">
        <v>1252</v>
      </c>
      <c r="B1221" s="4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55.9</v>
      </c>
      <c r="Q1221" t="b">
        <f>COUNTIF($A$2:A1221,A1221)&gt;1</f>
        <v>0</v>
      </c>
    </row>
    <row r="1222" spans="1:17">
      <c r="A1222" s="3" t="s">
        <v>1253</v>
      </c>
      <c r="B1222" s="4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 s="3">
        <v>74.900000000000006</v>
      </c>
      <c r="Q1222" t="b">
        <f>COUNTIF($A$2:A1222,A1222)&gt;1</f>
        <v>0</v>
      </c>
    </row>
    <row r="1223" spans="1:17">
      <c r="A1223" s="3" t="s">
        <v>1254</v>
      </c>
      <c r="B1223" s="4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 s="3">
        <v>58.5</v>
      </c>
      <c r="Q1223" t="b">
        <f>COUNTIF($A$2:A1223,A1223)&gt;1</f>
        <v>0</v>
      </c>
    </row>
    <row r="1224" spans="1:17">
      <c r="A1224" s="3" t="s">
        <v>1255</v>
      </c>
      <c r="B1224" s="4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63.5</v>
      </c>
      <c r="Q1224" t="b">
        <f>COUNTIF($A$2:A1224,A1224)&gt;1</f>
        <v>0</v>
      </c>
    </row>
    <row r="1225" spans="1:17">
      <c r="A1225" s="3" t="s">
        <v>1256</v>
      </c>
      <c r="B1225" s="4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 s="3">
        <v>64.8</v>
      </c>
      <c r="Q1225" t="b">
        <f>COUNTIF($A$2:A1225,A1225)&gt;1</f>
        <v>0</v>
      </c>
    </row>
    <row r="1226" spans="1:17">
      <c r="A1226" s="3" t="s">
        <v>1257</v>
      </c>
      <c r="B1226" s="4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63.3</v>
      </c>
      <c r="Q1226" t="b">
        <f>COUNTIF($A$2:A1226,A1226)&gt;1</f>
        <v>0</v>
      </c>
    </row>
    <row r="1227" spans="1:17">
      <c r="A1227" s="3" t="s">
        <v>1258</v>
      </c>
      <c r="B1227" s="4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</v>
      </c>
      <c r="I1227" s="3">
        <v>1</v>
      </c>
      <c r="J1227" s="3">
        <v>1</v>
      </c>
      <c r="K1227" s="3">
        <v>1</v>
      </c>
      <c r="L1227" s="3">
        <v>1074.1600000000001</v>
      </c>
      <c r="M1227" s="3">
        <v>0</v>
      </c>
      <c r="N1227" s="3">
        <v>0</v>
      </c>
      <c r="O1227" s="3">
        <v>8</v>
      </c>
      <c r="P1227" s="3">
        <v>83.7</v>
      </c>
      <c r="Q1227" t="b">
        <f>COUNTIF($A$2:A1227,A1227)&gt;1</f>
        <v>0</v>
      </c>
    </row>
    <row r="1228" spans="1:17">
      <c r="A1228" s="3" t="s">
        <v>1259</v>
      </c>
      <c r="B1228" s="4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88.7</v>
      </c>
      <c r="Q1228" t="b">
        <f>COUNTIF($A$2:A1228,A1228)&gt;1</f>
        <v>0</v>
      </c>
    </row>
    <row r="1229" spans="1:17">
      <c r="A1229" s="3" t="s">
        <v>1260</v>
      </c>
      <c r="B1229" s="4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 s="3">
        <v>61.5</v>
      </c>
      <c r="Q1229" t="b">
        <f>COUNTIF($A$2:A1229,A1229)&gt;1</f>
        <v>0</v>
      </c>
    </row>
    <row r="1230" spans="1:17">
      <c r="A1230" s="3" t="s">
        <v>1261</v>
      </c>
      <c r="B1230" s="4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 s="3">
        <v>45.3</v>
      </c>
      <c r="Q1230" t="b">
        <f>COUNTIF($A$2:A1230,A1230)&gt;1</f>
        <v>0</v>
      </c>
    </row>
    <row r="1231" spans="1:17">
      <c r="A1231" s="3" t="s">
        <v>1262</v>
      </c>
      <c r="B1231" s="4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37.299999999999997</v>
      </c>
      <c r="Q1231" t="b">
        <f>COUNTIF($A$2:A1231,A1231)&gt;1</f>
        <v>0</v>
      </c>
    </row>
    <row r="1232" spans="1:17">
      <c r="A1232" s="3" t="s">
        <v>1263</v>
      </c>
      <c r="B1232" s="4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 s="3">
        <v>76.099999999999994</v>
      </c>
      <c r="Q1232" t="b">
        <f>COUNTIF($A$2:A1232,A1232)&gt;1</f>
        <v>0</v>
      </c>
    </row>
    <row r="1233" spans="1:17">
      <c r="A1233" s="3" t="s">
        <v>1264</v>
      </c>
      <c r="B1233" s="4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72.5</v>
      </c>
      <c r="Q1233" t="b">
        <f>COUNTIF($A$2:A1233,A1233)&gt;1</f>
        <v>0</v>
      </c>
    </row>
    <row r="1234" spans="1:17">
      <c r="A1234" s="3" t="s">
        <v>1265</v>
      </c>
      <c r="B1234" s="4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62.3</v>
      </c>
      <c r="Q1234" t="b">
        <f>COUNTIF($A$2:A1234,A1234)&gt;1</f>
        <v>0</v>
      </c>
    </row>
    <row r="1235" spans="1:17">
      <c r="A1235" s="3" t="s">
        <v>1266</v>
      </c>
      <c r="B1235" s="4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62.7</v>
      </c>
      <c r="Q1235" t="b">
        <f>COUNTIF($A$2:A1235,A1235)&gt;1</f>
        <v>0</v>
      </c>
    </row>
    <row r="1236" spans="1:17">
      <c r="A1236" s="3" t="s">
        <v>1267</v>
      </c>
      <c r="B1236" s="4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 s="3">
        <v>82.4</v>
      </c>
      <c r="Q1236" t="b">
        <f>COUNTIF($A$2:A1236,A1236)&gt;1</f>
        <v>0</v>
      </c>
    </row>
    <row r="1237" spans="1:17">
      <c r="A1237" s="3" t="s">
        <v>1268</v>
      </c>
      <c r="B1237" s="4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78.900000000000006</v>
      </c>
      <c r="Q1237" t="b">
        <f>COUNTIF($A$2:A1237,A1237)&gt;1</f>
        <v>0</v>
      </c>
    </row>
    <row r="1238" spans="1:17">
      <c r="A1238" s="3" t="s">
        <v>1269</v>
      </c>
      <c r="B1238" s="4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 s="3">
        <v>67.8</v>
      </c>
      <c r="Q1238" t="b">
        <f>COUNTIF($A$2:A1238,A1238)&gt;1</f>
        <v>0</v>
      </c>
    </row>
    <row r="1239" spans="1:17">
      <c r="A1239" s="3" t="s">
        <v>1270</v>
      </c>
      <c r="B1239" s="4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68.8</v>
      </c>
      <c r="Q1239" t="b">
        <f>COUNTIF($A$2:A1239,A1239)&gt;1</f>
        <v>0</v>
      </c>
    </row>
    <row r="1240" spans="1:17">
      <c r="A1240" s="3" t="s">
        <v>1271</v>
      </c>
      <c r="B1240" s="4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67.7</v>
      </c>
      <c r="Q1240" t="b">
        <f>COUNTIF($A$2:A1240,A1240)&gt;1</f>
        <v>0</v>
      </c>
    </row>
    <row r="1241" spans="1:17">
      <c r="A1241" s="3" t="s">
        <v>1272</v>
      </c>
      <c r="B1241" s="4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88</v>
      </c>
      <c r="Q1241" t="b">
        <f>COUNTIF($A$2:A1241,A1241)&gt;1</f>
        <v>0</v>
      </c>
    </row>
    <row r="1242" spans="1:17">
      <c r="A1242" s="3" t="s">
        <v>1273</v>
      </c>
      <c r="B1242" s="4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80.099999999999994</v>
      </c>
      <c r="Q1242" t="b">
        <f>COUNTIF($A$2:A1242,A1242)&gt;1</f>
        <v>0</v>
      </c>
    </row>
    <row r="1243" spans="1:17">
      <c r="A1243" s="3" t="s">
        <v>1274</v>
      </c>
      <c r="B1243" s="4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 s="3">
        <v>48.2</v>
      </c>
      <c r="Q1243" t="b">
        <f>COUNTIF($A$2:A1243,A1243)&gt;1</f>
        <v>0</v>
      </c>
    </row>
    <row r="1244" spans="1:17">
      <c r="A1244" s="3" t="s">
        <v>1275</v>
      </c>
      <c r="B1244" s="4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52.7</v>
      </c>
      <c r="Q1244" t="b">
        <f>COUNTIF($A$2:A1244,A1244)&gt;1</f>
        <v>0</v>
      </c>
    </row>
    <row r="1245" spans="1:17">
      <c r="A1245" s="3" t="s">
        <v>1276</v>
      </c>
      <c r="B1245" s="4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 s="3">
        <v>59.9</v>
      </c>
      <c r="Q1245" t="b">
        <f>COUNTIF($A$2:A1245,A1245)&gt;1</f>
        <v>0</v>
      </c>
    </row>
    <row r="1246" spans="1:17">
      <c r="A1246" s="3" t="s">
        <v>1277</v>
      </c>
      <c r="B1246" s="4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49.5</v>
      </c>
      <c r="Q1246" t="b">
        <f>COUNTIF($A$2:A1246,A1246)&gt;1</f>
        <v>0</v>
      </c>
    </row>
    <row r="1247" spans="1:17">
      <c r="A1247" s="3" t="s">
        <v>1278</v>
      </c>
      <c r="B1247" s="4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41.5</v>
      </c>
      <c r="Q1247" t="b">
        <f>COUNTIF($A$2:A1247,A1247)&gt;1</f>
        <v>0</v>
      </c>
    </row>
    <row r="1248" spans="1:17">
      <c r="A1248" s="3" t="s">
        <v>1279</v>
      </c>
      <c r="B1248" s="4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71.2</v>
      </c>
      <c r="Q1248" t="b">
        <f>COUNTIF($A$2:A1248,A1248)&gt;1</f>
        <v>0</v>
      </c>
    </row>
    <row r="1249" spans="1:17">
      <c r="A1249" s="3" t="s">
        <v>1280</v>
      </c>
      <c r="B1249" s="4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65.8</v>
      </c>
      <c r="Q1249" t="b">
        <f>COUNTIF($A$2:A1249,A1249)&gt;1</f>
        <v>0</v>
      </c>
    </row>
    <row r="1250" spans="1:17">
      <c r="A1250" s="3" t="s">
        <v>1281</v>
      </c>
      <c r="B1250" s="4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 s="3">
        <v>55.1</v>
      </c>
      <c r="Q1250" t="b">
        <f>COUNTIF($A$2:A1250,A1250)&gt;1</f>
        <v>0</v>
      </c>
    </row>
    <row r="1251" spans="1:17">
      <c r="A1251" s="3" t="s">
        <v>1282</v>
      </c>
      <c r="B1251" s="4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54.6</v>
      </c>
      <c r="Q1251" t="b">
        <f>COUNTIF($A$2:A1251,A1251)&gt;1</f>
        <v>0</v>
      </c>
    </row>
    <row r="1252" spans="1:17">
      <c r="A1252" s="3" t="s">
        <v>1283</v>
      </c>
      <c r="B1252" s="4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 s="3">
        <v>81.900000000000006</v>
      </c>
      <c r="Q1252" t="b">
        <f>COUNTIF($A$2:A1252,A1252)&gt;1</f>
        <v>0</v>
      </c>
    </row>
    <row r="1253" spans="1:17">
      <c r="A1253" s="3" t="s">
        <v>1284</v>
      </c>
      <c r="B1253" s="4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 s="3">
        <v>63.2</v>
      </c>
      <c r="Q1253" t="b">
        <f>COUNTIF($A$2:A1253,A1253)&gt;1</f>
        <v>0</v>
      </c>
    </row>
    <row r="1254" spans="1:17">
      <c r="A1254" s="3" t="s">
        <v>1285</v>
      </c>
      <c r="B1254" s="4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 s="3">
        <v>55.4</v>
      </c>
      <c r="Q1254" t="b">
        <f>COUNTIF($A$2:A1254,A1254)&gt;1</f>
        <v>0</v>
      </c>
    </row>
    <row r="1255" spans="1:17">
      <c r="A1255" s="3" t="s">
        <v>1286</v>
      </c>
      <c r="B1255" s="4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87.5</v>
      </c>
      <c r="Q1255" t="b">
        <f>COUNTIF($A$2:A1255,A1255)&gt;1</f>
        <v>0</v>
      </c>
    </row>
    <row r="1256" spans="1:17">
      <c r="A1256" s="3" t="s">
        <v>1287</v>
      </c>
      <c r="B1256" s="4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48.5</v>
      </c>
      <c r="Q1256" t="b">
        <f>COUNTIF($A$2:A1256,A1256)&gt;1</f>
        <v>0</v>
      </c>
    </row>
    <row r="1257" spans="1:17">
      <c r="A1257" s="3" t="s">
        <v>1288</v>
      </c>
      <c r="B1257" s="4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 s="3">
        <v>58.4</v>
      </c>
      <c r="Q1257" t="b">
        <f>COUNTIF($A$2:A1257,A1257)&gt;1</f>
        <v>0</v>
      </c>
    </row>
    <row r="1258" spans="1:17">
      <c r="A1258" s="3" t="s">
        <v>1289</v>
      </c>
      <c r="B1258" s="4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  <c r="Q1258" t="b">
        <f>COUNTIF($A$2:A1258,A1258)&gt;1</f>
        <v>0</v>
      </c>
    </row>
    <row r="1259" spans="1:17">
      <c r="A1259" s="3" t="s">
        <v>1290</v>
      </c>
      <c r="B1259" s="4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  <c r="Q1259" t="b">
        <f>COUNTIF($A$2:A1259,A1259)&gt;1</f>
        <v>0</v>
      </c>
    </row>
    <row r="1260" spans="1:17">
      <c r="A1260" s="3" t="s">
        <v>1291</v>
      </c>
      <c r="B1260" s="4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  <c r="Q1260" t="b">
        <f>COUNTIF($A$2:A1260,A1260)&gt;1</f>
        <v>0</v>
      </c>
    </row>
    <row r="1261" spans="1:17">
      <c r="A1261" s="3" t="s">
        <v>1292</v>
      </c>
      <c r="B1261" s="4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  <c r="Q1261" t="b">
        <f>COUNTIF($A$2:A1261,A1261)&gt;1</f>
        <v>0</v>
      </c>
    </row>
    <row r="1262" spans="1:17">
      <c r="A1262" s="3" t="s">
        <v>1293</v>
      </c>
      <c r="B1262" s="4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  <c r="Q1262" t="b">
        <f>COUNTIF($A$2:A1262,A1262)&gt;1</f>
        <v>0</v>
      </c>
    </row>
    <row r="1263" spans="1:17">
      <c r="A1263" s="3" t="s">
        <v>1294</v>
      </c>
      <c r="B1263" s="4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  <c r="Q1263" t="b">
        <f>COUNTIF($A$2:A1263,A1263)&gt;1</f>
        <v>0</v>
      </c>
    </row>
    <row r="1264" spans="1:17">
      <c r="A1264" s="3" t="s">
        <v>1295</v>
      </c>
      <c r="B1264" s="4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  <c r="Q1264" t="b">
        <f>COUNTIF($A$2:A1264,A1264)&gt;1</f>
        <v>0</v>
      </c>
    </row>
    <row r="1265" spans="1:17">
      <c r="A1265" s="3" t="s">
        <v>1296</v>
      </c>
      <c r="B1265" s="4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  <c r="Q1265" t="b">
        <f>COUNTIF($A$2:A1265,A1265)&gt;1</f>
        <v>0</v>
      </c>
    </row>
    <row r="1266" spans="1:17">
      <c r="A1266" s="3" t="s">
        <v>1297</v>
      </c>
      <c r="B1266" s="4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  <c r="Q1266" t="b">
        <f>COUNTIF($A$2:A1266,A1266)&gt;1</f>
        <v>0</v>
      </c>
    </row>
    <row r="1267" spans="1:17">
      <c r="A1267" s="3" t="s">
        <v>1298</v>
      </c>
      <c r="B1267" s="4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33.700000000000003</v>
      </c>
      <c r="Q1267" t="b">
        <f>COUNTIF($A$2:A1267,A1267)&gt;1</f>
        <v>0</v>
      </c>
    </row>
    <row r="1268" spans="1:17">
      <c r="A1268" s="3" t="s">
        <v>1299</v>
      </c>
      <c r="B1268" s="4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  <c r="Q1268" t="b">
        <f>COUNTIF($A$2:A1268,A1268)&gt;1</f>
        <v>0</v>
      </c>
    </row>
    <row r="1269" spans="1:17">
      <c r="A1269" s="3" t="s">
        <v>1300</v>
      </c>
      <c r="B1269" s="4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  <c r="Q1269" t="b">
        <f>COUNTIF($A$2:A1269,A1269)&gt;1</f>
        <v>0</v>
      </c>
    </row>
    <row r="1270" spans="1:17">
      <c r="A1270" s="3" t="s">
        <v>1301</v>
      </c>
      <c r="B1270" s="4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  <c r="Q1270" t="b">
        <f>COUNTIF($A$2:A1270,A1270)&gt;1</f>
        <v>0</v>
      </c>
    </row>
    <row r="1271" spans="1:17">
      <c r="A1271" s="3" t="s">
        <v>1302</v>
      </c>
      <c r="B1271" s="4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  <c r="Q1271" t="b">
        <f>COUNTIF($A$2:A1271,A1271)&gt;1</f>
        <v>0</v>
      </c>
    </row>
    <row r="1272" spans="1:17">
      <c r="A1272" s="3" t="s">
        <v>1303</v>
      </c>
      <c r="B1272" s="4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  <c r="Q1272" t="b">
        <f>COUNTIF($A$2:A1272,A1272)&gt;1</f>
        <v>0</v>
      </c>
    </row>
    <row r="1273" spans="1:17">
      <c r="A1273" s="3" t="s">
        <v>1304</v>
      </c>
      <c r="B1273" s="4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  <c r="Q1273" t="b">
        <f>COUNTIF($A$2:A1273,A1273)&gt;1</f>
        <v>0</v>
      </c>
    </row>
    <row r="1274" spans="1:17">
      <c r="A1274" s="3" t="s">
        <v>1305</v>
      </c>
      <c r="B1274" s="4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  <c r="Q1274" t="b">
        <f>COUNTIF($A$2:A1274,A1274)&gt;1</f>
        <v>0</v>
      </c>
    </row>
    <row r="1275" spans="1:17">
      <c r="A1275" s="3" t="s">
        <v>1306</v>
      </c>
      <c r="B1275" s="4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  <c r="Q1275" t="b">
        <f>COUNTIF($A$2:A1275,A1275)&gt;1</f>
        <v>0</v>
      </c>
    </row>
    <row r="1276" spans="1:17">
      <c r="A1276" s="3" t="s">
        <v>1307</v>
      </c>
      <c r="B1276" s="4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  <c r="Q1276" t="b">
        <f>COUNTIF($A$2:A1276,A1276)&gt;1</f>
        <v>0</v>
      </c>
    </row>
    <row r="1277" spans="1:17">
      <c r="A1277" s="3" t="s">
        <v>1308</v>
      </c>
      <c r="B1277" s="4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79.400000000000006</v>
      </c>
      <c r="Q1277" t="b">
        <f>COUNTIF($A$2:A1277,A1277)&gt;1</f>
        <v>0</v>
      </c>
    </row>
    <row r="1278" spans="1:17">
      <c r="A1278" s="3" t="s">
        <v>1309</v>
      </c>
      <c r="B1278" s="4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  <c r="Q1278" t="b">
        <f>COUNTIF($A$2:A1278,A1278)&gt;1</f>
        <v>0</v>
      </c>
    </row>
    <row r="1279" spans="1:17">
      <c r="A1279" s="3" t="s">
        <v>1310</v>
      </c>
      <c r="B1279" s="4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  <c r="Q1279" t="b">
        <f>COUNTIF($A$2:A1279,A1279)&gt;1</f>
        <v>0</v>
      </c>
    </row>
    <row r="1280" spans="1:17">
      <c r="A1280" s="3" t="s">
        <v>1311</v>
      </c>
      <c r="B1280" s="4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  <c r="Q1280" t="b">
        <f>COUNTIF($A$2:A1280,A1280)&gt;1</f>
        <v>0</v>
      </c>
    </row>
    <row r="1281" spans="1:17">
      <c r="A1281" s="3" t="s">
        <v>1312</v>
      </c>
      <c r="B1281" s="4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  <c r="Q1281" t="b">
        <f>COUNTIF($A$2:A1281,A1281)&gt;1</f>
        <v>0</v>
      </c>
    </row>
    <row r="1282" spans="1:17">
      <c r="A1282" s="3" t="s">
        <v>1313</v>
      </c>
      <c r="B1282" s="4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  <c r="Q1282" t="b">
        <f>COUNTIF($A$2:A1282,A1282)&gt;1</f>
        <v>0</v>
      </c>
    </row>
    <row r="1283" spans="1:17">
      <c r="A1283" s="3" t="s">
        <v>1314</v>
      </c>
      <c r="B1283" s="4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  <c r="Q1283" t="b">
        <f>COUNTIF($A$2:A1283,A1283)&gt;1</f>
        <v>0</v>
      </c>
    </row>
    <row r="1284" spans="1:17">
      <c r="A1284" s="3" t="s">
        <v>1315</v>
      </c>
      <c r="B1284" s="4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  <c r="Q1284" t="b">
        <f>COUNTIF($A$2:A1284,A1284)&gt;1</f>
        <v>0</v>
      </c>
    </row>
    <row r="1285" spans="1:17">
      <c r="A1285" s="3" t="s">
        <v>1316</v>
      </c>
      <c r="B1285" s="4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80.099999999999994</v>
      </c>
      <c r="Q1285" t="b">
        <f>COUNTIF($A$2:A1285,A1285)&gt;1</f>
        <v>0</v>
      </c>
    </row>
    <row r="1286" spans="1:17">
      <c r="A1286" s="3" t="s">
        <v>1317</v>
      </c>
      <c r="B1286" s="4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  <c r="Q1286" t="b">
        <f>COUNTIF($A$2:A1286,A1286)&gt;1</f>
        <v>0</v>
      </c>
    </row>
    <row r="1287" spans="1:17">
      <c r="A1287" s="3" t="s">
        <v>1318</v>
      </c>
      <c r="B1287" s="4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  <c r="Q1287" t="b">
        <f>COUNTIF($A$2:A1287,A1287)&gt;1</f>
        <v>0</v>
      </c>
    </row>
    <row r="1288" spans="1:17">
      <c r="A1288" s="3" t="s">
        <v>1319</v>
      </c>
      <c r="B1288" s="4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  <c r="Q1288" t="b">
        <f>COUNTIF($A$2:A1288,A1288)&gt;1</f>
        <v>0</v>
      </c>
    </row>
    <row r="1289" spans="1:17">
      <c r="A1289" s="3" t="s">
        <v>1320</v>
      </c>
      <c r="B1289" s="4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  <c r="Q1289" t="b">
        <f>COUNTIF($A$2:A1289,A1289)&gt;1</f>
        <v>0</v>
      </c>
    </row>
    <row r="1290" spans="1:17">
      <c r="A1290" s="3" t="s">
        <v>1321</v>
      </c>
      <c r="B1290" s="4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  <c r="Q1290" t="b">
        <f>COUNTIF($A$2:A1290,A1290)&gt;1</f>
        <v>0</v>
      </c>
    </row>
    <row r="1291" spans="1:17">
      <c r="A1291" s="3" t="s">
        <v>1322</v>
      </c>
      <c r="B1291" s="4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  <c r="Q1291" t="b">
        <f>COUNTIF($A$2:A1291,A1291)&gt;1</f>
        <v>0</v>
      </c>
    </row>
    <row r="1292" spans="1:17">
      <c r="A1292" s="3" t="s">
        <v>1323</v>
      </c>
      <c r="B1292" s="4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  <c r="Q1292" t="b">
        <f>COUNTIF($A$2:A1292,A1292)&gt;1</f>
        <v>0</v>
      </c>
    </row>
    <row r="1293" spans="1:17">
      <c r="A1293" s="3" t="s">
        <v>1324</v>
      </c>
      <c r="B1293" s="4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  <c r="Q1293" t="b">
        <f>COUNTIF($A$2:A1293,A1293)&gt;1</f>
        <v>0</v>
      </c>
    </row>
    <row r="1294" spans="1:17">
      <c r="A1294" s="3" t="s">
        <v>1325</v>
      </c>
      <c r="B1294" s="4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74.400000000000006</v>
      </c>
      <c r="Q1294" t="b">
        <f>COUNTIF($A$2:A1294,A1294)&gt;1</f>
        <v>0</v>
      </c>
    </row>
    <row r="1295" spans="1:17">
      <c r="A1295" s="3" t="s">
        <v>1326</v>
      </c>
      <c r="B1295" s="4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78.400000000000006</v>
      </c>
      <c r="Q1295" t="b">
        <f>COUNTIF($A$2:A1295,A1295)&gt;1</f>
        <v>0</v>
      </c>
    </row>
    <row r="1296" spans="1:17">
      <c r="A1296" s="3" t="s">
        <v>1327</v>
      </c>
      <c r="B1296" s="4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  <c r="Q1296" t="b">
        <f>COUNTIF($A$2:A1296,A1296)&gt;1</f>
        <v>0</v>
      </c>
    </row>
    <row r="1297" spans="1:17">
      <c r="A1297" s="3" t="s">
        <v>1328</v>
      </c>
      <c r="B1297" s="4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  <c r="Q1297" t="b">
        <f>COUNTIF($A$2:A1297,A1297)&gt;1</f>
        <v>0</v>
      </c>
    </row>
    <row r="1298" spans="1:17">
      <c r="A1298" s="3" t="s">
        <v>1329</v>
      </c>
      <c r="B1298" s="4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 s="3">
        <v>60.4</v>
      </c>
      <c r="Q1298" t="b">
        <f>COUNTIF($A$2:A1298,A1298)&gt;1</f>
        <v>0</v>
      </c>
    </row>
    <row r="1299" spans="1:17">
      <c r="A1299" s="3" t="s">
        <v>1330</v>
      </c>
      <c r="B1299" s="4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 s="3">
        <v>72.900000000000006</v>
      </c>
      <c r="Q1299" t="b">
        <f>COUNTIF($A$2:A1299,A1299)&gt;1</f>
        <v>0</v>
      </c>
    </row>
    <row r="1300" spans="1:17">
      <c r="A1300" s="3" t="s">
        <v>1331</v>
      </c>
      <c r="B1300" s="4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 s="3"/>
      <c r="Q1300" t="b">
        <f>COUNTIF($A$2:A1300,A1300)&gt;1</f>
        <v>0</v>
      </c>
    </row>
    <row r="1301" spans="1:17">
      <c r="A1301" s="3" t="s">
        <v>1332</v>
      </c>
      <c r="B1301" s="4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55.2</v>
      </c>
      <c r="Q1301" t="b">
        <f>COUNTIF($A$2:A1301,A1301)&gt;1</f>
        <v>0</v>
      </c>
    </row>
    <row r="1302" spans="1:17">
      <c r="A1302" s="3" t="s">
        <v>1333</v>
      </c>
      <c r="B1302" s="4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 s="3">
        <v>67.8</v>
      </c>
      <c r="Q1302" t="b">
        <f>COUNTIF($A$2:A1302,A1302)&gt;1</f>
        <v>0</v>
      </c>
    </row>
    <row r="1303" spans="1:17">
      <c r="A1303" s="3" t="s">
        <v>1334</v>
      </c>
      <c r="B1303" s="4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 s="3">
        <v>70</v>
      </c>
      <c r="Q1303" t="b">
        <f>COUNTIF($A$2:A1303,A1303)&gt;1</f>
        <v>0</v>
      </c>
    </row>
    <row r="1304" spans="1:17">
      <c r="A1304" s="3" t="s">
        <v>1335</v>
      </c>
      <c r="B1304" s="4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51.1</v>
      </c>
      <c r="Q1304" t="b">
        <f>COUNTIF($A$2:A1304,A1304)&gt;1</f>
        <v>0</v>
      </c>
    </row>
    <row r="1305" spans="1:17">
      <c r="A1305" s="3" t="s">
        <v>1336</v>
      </c>
      <c r="B1305" s="4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 s="3">
        <v>57</v>
      </c>
      <c r="Q1305" t="b">
        <f>COUNTIF($A$2:A1305,A1305)&gt;1</f>
        <v>0</v>
      </c>
    </row>
    <row r="1306" spans="1:17">
      <c r="A1306" s="3" t="s">
        <v>1337</v>
      </c>
      <c r="B1306" s="4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 s="3">
        <v>47.1</v>
      </c>
      <c r="Q1306" t="b">
        <f>COUNTIF($A$2:A1306,A1306)&gt;1</f>
        <v>0</v>
      </c>
    </row>
    <row r="1307" spans="1:17">
      <c r="A1307" s="3" t="s">
        <v>1338</v>
      </c>
      <c r="B1307" s="4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30.7</v>
      </c>
      <c r="Q1307" t="b">
        <f>COUNTIF($A$2:A1307,A1307)&gt;1</f>
        <v>0</v>
      </c>
    </row>
    <row r="1308" spans="1:17">
      <c r="A1308" s="3" t="s">
        <v>1339</v>
      </c>
      <c r="B1308" s="4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57.3</v>
      </c>
      <c r="Q1308" t="b">
        <f>COUNTIF($A$2:A1308,A1308)&gt;1</f>
        <v>0</v>
      </c>
    </row>
    <row r="1309" spans="1:17">
      <c r="A1309" s="3" t="s">
        <v>1340</v>
      </c>
      <c r="B1309" s="4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70</v>
      </c>
      <c r="Q1309" t="b">
        <f>COUNTIF($A$2:A1309,A1309)&gt;1</f>
        <v>0</v>
      </c>
    </row>
    <row r="1310" spans="1:17">
      <c r="A1310" s="3" t="s">
        <v>1341</v>
      </c>
      <c r="B1310" s="4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59.7</v>
      </c>
      <c r="Q1310" t="b">
        <f>COUNTIF($A$2:A1310,A1310)&gt;1</f>
        <v>0</v>
      </c>
    </row>
    <row r="1311" spans="1:17">
      <c r="A1311" s="3" t="s">
        <v>1342</v>
      </c>
      <c r="B1311" s="4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68.8</v>
      </c>
      <c r="Q1311" t="b">
        <f>COUNTIF($A$2:A1311,A1311)&gt;1</f>
        <v>0</v>
      </c>
    </row>
    <row r="1312" spans="1:17">
      <c r="A1312" s="3" t="s">
        <v>1343</v>
      </c>
      <c r="B1312" s="4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 s="3">
        <v>88.3</v>
      </c>
      <c r="Q1312" t="b">
        <f>COUNTIF($A$2:A1312,A1312)&gt;1</f>
        <v>0</v>
      </c>
    </row>
    <row r="1313" spans="1:17">
      <c r="A1313" s="3" t="s">
        <v>1344</v>
      </c>
      <c r="B1313" s="4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83.4</v>
      </c>
      <c r="Q1313" t="b">
        <f>COUNTIF($A$2:A1313,A1313)&gt;1</f>
        <v>0</v>
      </c>
    </row>
    <row r="1314" spans="1:17">
      <c r="A1314" s="3" t="s">
        <v>1345</v>
      </c>
      <c r="B1314" s="4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81.599999999999994</v>
      </c>
      <c r="Q1314" t="b">
        <f>COUNTIF($A$2:A1314,A1314)&gt;1</f>
        <v>0</v>
      </c>
    </row>
    <row r="1315" spans="1:17">
      <c r="A1315" s="3" t="s">
        <v>1346</v>
      </c>
      <c r="B1315" s="4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>
        <v>91.6</v>
      </c>
      <c r="Q1315" t="b">
        <f>COUNTIF($A$2:A1315,A1315)&gt;1</f>
        <v>0</v>
      </c>
    </row>
    <row r="1316" spans="1:17">
      <c r="A1316" s="3" t="s">
        <v>1347</v>
      </c>
      <c r="B1316" s="4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 s="3">
        <v>61.5</v>
      </c>
      <c r="Q1316" t="b">
        <f>COUNTIF($A$2:A1316,A1316)&gt;1</f>
        <v>0</v>
      </c>
    </row>
    <row r="1317" spans="1:17">
      <c r="A1317" s="3" t="s">
        <v>1348</v>
      </c>
      <c r="B1317" s="4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/>
      <c r="Q1317" t="b">
        <f>COUNTIF($A$2:A1317,A1317)&gt;1</f>
        <v>0</v>
      </c>
    </row>
    <row r="1318" spans="1:17">
      <c r="A1318" s="3" t="s">
        <v>1349</v>
      </c>
      <c r="B1318" s="4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 s="3">
        <v>32.6</v>
      </c>
      <c r="Q1318" t="b">
        <f>COUNTIF($A$2:A1318,A1318)&gt;1</f>
        <v>0</v>
      </c>
    </row>
    <row r="1319" spans="1:17">
      <c r="A1319" s="3" t="s">
        <v>1350</v>
      </c>
      <c r="B1319" s="4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73.900000000000006</v>
      </c>
      <c r="Q1319" t="b">
        <f>COUNTIF($A$2:A1319,A1319)&gt;1</f>
        <v>0</v>
      </c>
    </row>
    <row r="1320" spans="1:17">
      <c r="A1320" s="3" t="s">
        <v>1351</v>
      </c>
      <c r="B1320" s="4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 s="3">
        <v>99.9</v>
      </c>
      <c r="Q1320" t="b">
        <f>COUNTIF($A$2:A1320,A1320)&gt;1</f>
        <v>0</v>
      </c>
    </row>
    <row r="1321" spans="1:17">
      <c r="A1321" s="3" t="s">
        <v>1352</v>
      </c>
      <c r="B1321" s="4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62.4</v>
      </c>
      <c r="Q1321" t="b">
        <f>COUNTIF($A$2:A1321,A1321)&gt;1</f>
        <v>0</v>
      </c>
    </row>
    <row r="1322" spans="1:17">
      <c r="A1322" s="3" t="s">
        <v>1353</v>
      </c>
      <c r="B1322" s="4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46.1</v>
      </c>
      <c r="Q1322" t="b">
        <f>COUNTIF($A$2:A1322,A1322)&gt;1</f>
        <v>0</v>
      </c>
    </row>
    <row r="1323" spans="1:17">
      <c r="A1323" s="3" t="s">
        <v>1354</v>
      </c>
      <c r="B1323" s="4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 s="3">
        <v>73.900000000000006</v>
      </c>
      <c r="Q1323" t="b">
        <f>COUNTIF($A$2:A1323,A1323)&gt;1</f>
        <v>0</v>
      </c>
    </row>
    <row r="1324" spans="1:17">
      <c r="A1324" s="3" t="s">
        <v>1355</v>
      </c>
      <c r="B1324" s="4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90</v>
      </c>
      <c r="Q1324" t="b">
        <f>COUNTIF($A$2:A1324,A1324)&gt;1</f>
        <v>0</v>
      </c>
    </row>
    <row r="1325" spans="1:17">
      <c r="A1325" s="3" t="s">
        <v>1356</v>
      </c>
      <c r="B1325" s="4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 s="3">
        <v>68.8</v>
      </c>
      <c r="Q1325" t="b">
        <f>COUNTIF($A$2:A1325,A1325)&gt;1</f>
        <v>0</v>
      </c>
    </row>
    <row r="1326" spans="1:17">
      <c r="A1326" s="3" t="s">
        <v>1357</v>
      </c>
      <c r="B1326" s="4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66.599999999999994</v>
      </c>
      <c r="Q1326" t="b">
        <f>COUNTIF($A$2:A1326,A1326)&gt;1</f>
        <v>0</v>
      </c>
    </row>
    <row r="1327" spans="1:17">
      <c r="A1327" s="3" t="s">
        <v>1358</v>
      </c>
      <c r="B1327" s="4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49.7</v>
      </c>
      <c r="Q1327" t="b">
        <f>COUNTIF($A$2:A1327,A1327)&gt;1</f>
        <v>0</v>
      </c>
    </row>
    <row r="1328" spans="1:17">
      <c r="A1328" s="3" t="s">
        <v>1359</v>
      </c>
      <c r="B1328" s="4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67.900000000000006</v>
      </c>
      <c r="Q1328" t="b">
        <f>COUNTIF($A$2:A1328,A1328)&gt;1</f>
        <v>0</v>
      </c>
    </row>
    <row r="1329" spans="1:17">
      <c r="A1329" s="3" t="s">
        <v>1360</v>
      </c>
      <c r="B1329" s="4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66.900000000000006</v>
      </c>
      <c r="Q1329" t="b">
        <f>COUNTIF($A$2:A1329,A1329)&gt;1</f>
        <v>0</v>
      </c>
    </row>
    <row r="1330" spans="1:17">
      <c r="A1330" s="3" t="s">
        <v>1361</v>
      </c>
      <c r="B1330" s="4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46.1</v>
      </c>
      <c r="Q1330" t="b">
        <f>COUNTIF($A$2:A1330,A1330)&gt;1</f>
        <v>0</v>
      </c>
    </row>
    <row r="1331" spans="1:17">
      <c r="A1331" s="3" t="s">
        <v>1362</v>
      </c>
      <c r="B1331" s="4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85.6</v>
      </c>
      <c r="Q1331" t="b">
        <f>COUNTIF($A$2:A1331,A1331)&gt;1</f>
        <v>0</v>
      </c>
    </row>
    <row r="1332" spans="1:17">
      <c r="A1332" s="3" t="s">
        <v>1363</v>
      </c>
      <c r="B1332" s="4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39.6</v>
      </c>
      <c r="Q1332" t="b">
        <f>COUNTIF($A$2:A1332,A1332)&gt;1</f>
        <v>0</v>
      </c>
    </row>
    <row r="1333" spans="1:17">
      <c r="A1333" s="3" t="s">
        <v>1364</v>
      </c>
      <c r="B1333" s="4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52.5</v>
      </c>
      <c r="Q1333" t="b">
        <f>COUNTIF($A$2:A1333,A1333)&gt;1</f>
        <v>0</v>
      </c>
    </row>
    <row r="1334" spans="1:17">
      <c r="A1334" s="3" t="s">
        <v>1365</v>
      </c>
      <c r="B1334" s="4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73.5</v>
      </c>
      <c r="Q1334" t="b">
        <f>COUNTIF($A$2:A1334,A1334)&gt;1</f>
        <v>0</v>
      </c>
    </row>
    <row r="1335" spans="1:17">
      <c r="A1335" s="3" t="s">
        <v>1366</v>
      </c>
      <c r="B1335" s="4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62.5</v>
      </c>
      <c r="Q1335" t="b">
        <f>COUNTIF($A$2:A1335,A1335)&gt;1</f>
        <v>0</v>
      </c>
    </row>
    <row r="1336" spans="1:17">
      <c r="A1336" s="3" t="s">
        <v>1367</v>
      </c>
      <c r="B1336" s="4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76.900000000000006</v>
      </c>
      <c r="Q1336" t="b">
        <f>COUNTIF($A$2:A1336,A1336)&gt;1</f>
        <v>0</v>
      </c>
    </row>
    <row r="1337" spans="1:17">
      <c r="A1337" s="3" t="s">
        <v>1368</v>
      </c>
      <c r="B1337" s="4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51.4</v>
      </c>
      <c r="Q1337" t="b">
        <f>COUNTIF($A$2:A1337,A1337)&gt;1</f>
        <v>0</v>
      </c>
    </row>
    <row r="1338" spans="1:17">
      <c r="A1338" s="3" t="s">
        <v>1369</v>
      </c>
      <c r="B1338" s="4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 s="3">
        <v>59.3</v>
      </c>
      <c r="Q1338" t="b">
        <f>COUNTIF($A$2:A1338,A1338)&gt;1</f>
        <v>0</v>
      </c>
    </row>
    <row r="1339" spans="1:17">
      <c r="A1339" s="3" t="s">
        <v>1370</v>
      </c>
      <c r="B1339" s="4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74.900000000000006</v>
      </c>
      <c r="Q1339" t="b">
        <f>COUNTIF($A$2:A1339,A1339)&gt;1</f>
        <v>0</v>
      </c>
    </row>
    <row r="1340" spans="1:17">
      <c r="A1340" s="3" t="s">
        <v>1371</v>
      </c>
      <c r="B1340" s="4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67</v>
      </c>
      <c r="Q1340" t="b">
        <f>COUNTIF($A$2:A1340,A1340)&gt;1</f>
        <v>0</v>
      </c>
    </row>
    <row r="1341" spans="1:17">
      <c r="A1341" s="3" t="s">
        <v>1372</v>
      </c>
      <c r="B1341" s="4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 s="3">
        <v>63.6</v>
      </c>
      <c r="Q1341" t="b">
        <f>COUNTIF($A$2:A1341,A1341)&gt;1</f>
        <v>0</v>
      </c>
    </row>
    <row r="1342" spans="1:17">
      <c r="A1342" s="3" t="s">
        <v>1373</v>
      </c>
      <c r="B1342" s="4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58.4</v>
      </c>
      <c r="Q1342" t="b">
        <f>COUNTIF($A$2:A1342,A1342)&gt;1</f>
        <v>0</v>
      </c>
    </row>
    <row r="1343" spans="1:17">
      <c r="A1343" s="3" t="s">
        <v>1374</v>
      </c>
      <c r="B1343" s="4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36.799999999999997</v>
      </c>
      <c r="Q1343" t="b">
        <f>COUNTIF($A$2:A1343,A1343)&gt;1</f>
        <v>0</v>
      </c>
    </row>
    <row r="1344" spans="1:17">
      <c r="A1344" s="3" t="s">
        <v>1375</v>
      </c>
      <c r="B1344" s="4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 s="3">
        <v>71.599999999999994</v>
      </c>
      <c r="Q1344" t="b">
        <f>COUNTIF($A$2:A1344,A1344)&gt;1</f>
        <v>0</v>
      </c>
    </row>
    <row r="1345" spans="1:17">
      <c r="A1345" s="3" t="s">
        <v>1376</v>
      </c>
      <c r="B1345" s="4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 s="3">
        <v>79.7</v>
      </c>
      <c r="Q1345" t="b">
        <f>COUNTIF($A$2:A1345,A1345)&gt;1</f>
        <v>0</v>
      </c>
    </row>
    <row r="1346" spans="1:17">
      <c r="A1346" s="3" t="s">
        <v>1377</v>
      </c>
      <c r="B1346" s="4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56.5</v>
      </c>
      <c r="Q1346" t="b">
        <f>COUNTIF($A$2:A1346,A1346)&gt;1</f>
        <v>0</v>
      </c>
    </row>
    <row r="1347" spans="1:17">
      <c r="A1347" s="3" t="s">
        <v>1378</v>
      </c>
      <c r="B1347" s="4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 s="3">
        <v>44.7</v>
      </c>
      <c r="Q1347" t="b">
        <f>COUNTIF($A$2:A1347,A1347)&gt;1</f>
        <v>0</v>
      </c>
    </row>
    <row r="1348" spans="1:17">
      <c r="A1348" s="3" t="s">
        <v>1379</v>
      </c>
      <c r="B1348" s="4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 s="3">
        <v>66</v>
      </c>
      <c r="Q1348" t="b">
        <f>COUNTIF($A$2:A1348,A1348)&gt;1</f>
        <v>0</v>
      </c>
    </row>
    <row r="1349" spans="1:17">
      <c r="A1349" s="3" t="s">
        <v>1380</v>
      </c>
      <c r="B1349" s="4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 s="3">
        <v>73</v>
      </c>
      <c r="Q1349" t="b">
        <f>COUNTIF($A$2:A1349,A1349)&gt;1</f>
        <v>0</v>
      </c>
    </row>
    <row r="1350" spans="1:17">
      <c r="A1350" s="3" t="s">
        <v>1381</v>
      </c>
      <c r="B1350" s="4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 s="3">
        <v>72.5</v>
      </c>
      <c r="Q1350" t="b">
        <f>COUNTIF($A$2:A1350,A1350)&gt;1</f>
        <v>0</v>
      </c>
    </row>
    <row r="1351" spans="1:17">
      <c r="A1351" s="3" t="s">
        <v>1382</v>
      </c>
      <c r="B1351" s="4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</v>
      </c>
      <c r="I1351" s="3">
        <v>1</v>
      </c>
      <c r="J1351" s="3">
        <v>1</v>
      </c>
      <c r="K1351" s="3">
        <v>1</v>
      </c>
      <c r="L1351" s="3">
        <v>323.60000000000002</v>
      </c>
      <c r="M1351" s="3">
        <v>0</v>
      </c>
      <c r="N1351" s="3">
        <v>0</v>
      </c>
      <c r="O1351" s="3">
        <v>6</v>
      </c>
      <c r="P1351" s="3">
        <v>100</v>
      </c>
      <c r="Q1351" t="b">
        <f>COUNTIF($A$2:A1351,A1351)&gt;1</f>
        <v>0</v>
      </c>
    </row>
    <row r="1352" spans="1:17">
      <c r="A1352" s="3" t="s">
        <v>1383</v>
      </c>
      <c r="B1352" s="4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 s="3">
        <v>90.5</v>
      </c>
      <c r="Q1352" t="b">
        <f>COUNTIF($A$2:A1352,A1352)&gt;1</f>
        <v>0</v>
      </c>
    </row>
    <row r="1353" spans="1:17">
      <c r="A1353" s="3" t="s">
        <v>1384</v>
      </c>
      <c r="B1353" s="4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 s="3">
        <v>70.2</v>
      </c>
      <c r="Q1353" t="b">
        <f>COUNTIF($A$2:A1353,A1353)&gt;1</f>
        <v>0</v>
      </c>
    </row>
    <row r="1354" spans="1:17">
      <c r="A1354" s="3" t="s">
        <v>1385</v>
      </c>
      <c r="B1354" s="4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 s="3">
        <v>67.099999999999994</v>
      </c>
      <c r="Q1354" t="b">
        <f>COUNTIF($A$2:A1354,A1354)&gt;1</f>
        <v>0</v>
      </c>
    </row>
    <row r="1355" spans="1:17">
      <c r="A1355" s="3" t="s">
        <v>1386</v>
      </c>
      <c r="B1355" s="4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54.5</v>
      </c>
      <c r="Q1355" t="b">
        <f>COUNTIF($A$2:A1355,A1355)&gt;1</f>
        <v>0</v>
      </c>
    </row>
    <row r="1356" spans="1:17">
      <c r="A1356" s="3" t="s">
        <v>1387</v>
      </c>
      <c r="B1356" s="4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63.4</v>
      </c>
      <c r="Q1356" t="b">
        <f>COUNTIF($A$2:A1356,A1356)&gt;1</f>
        <v>0</v>
      </c>
    </row>
    <row r="1357" spans="1:17">
      <c r="A1357" s="3" t="s">
        <v>1388</v>
      </c>
      <c r="B1357" s="4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84.3</v>
      </c>
      <c r="Q1357" t="b">
        <f>COUNTIF($A$2:A1357,A1357)&gt;1</f>
        <v>0</v>
      </c>
    </row>
    <row r="1358" spans="1:17">
      <c r="A1358" s="3" t="s">
        <v>1389</v>
      </c>
      <c r="B1358" s="4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 s="3">
        <v>55</v>
      </c>
      <c r="Q1358" t="b">
        <f>COUNTIF($A$2:A1358,A1358)&gt;1</f>
        <v>0</v>
      </c>
    </row>
    <row r="1359" spans="1:17">
      <c r="A1359" s="3" t="s">
        <v>1390</v>
      </c>
      <c r="B1359" s="4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63.6</v>
      </c>
      <c r="Q1359" t="b">
        <f>COUNTIF($A$2:A1359,A1359)&gt;1</f>
        <v>0</v>
      </c>
    </row>
    <row r="1360" spans="1:17">
      <c r="A1360" s="3" t="s">
        <v>1391</v>
      </c>
      <c r="B1360" s="4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55.5</v>
      </c>
      <c r="Q1360" t="b">
        <f>COUNTIF($A$2:A1360,A1360)&gt;1</f>
        <v>0</v>
      </c>
    </row>
    <row r="1361" spans="1:17">
      <c r="A1361" s="3" t="s">
        <v>1392</v>
      </c>
      <c r="B1361" s="4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 s="3">
        <v>50.5</v>
      </c>
      <c r="Q1361" t="b">
        <f>COUNTIF($A$2:A1361,A1361)&gt;1</f>
        <v>0</v>
      </c>
    </row>
    <row r="1362" spans="1:17">
      <c r="A1362" s="3" t="s">
        <v>1393</v>
      </c>
      <c r="B1362" s="4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 s="3">
        <v>45.3</v>
      </c>
      <c r="Q1362" t="b">
        <f>COUNTIF($A$2:A1362,A1362)&gt;1</f>
        <v>0</v>
      </c>
    </row>
    <row r="1363" spans="1:17">
      <c r="A1363" s="3" t="s">
        <v>1394</v>
      </c>
      <c r="B1363" s="4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33.6</v>
      </c>
      <c r="Q1363" t="b">
        <f>COUNTIF($A$2:A1363,A1363)&gt;1</f>
        <v>0</v>
      </c>
    </row>
    <row r="1364" spans="1:17">
      <c r="A1364" s="3" t="s">
        <v>1395</v>
      </c>
      <c r="B1364" s="4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88.2</v>
      </c>
      <c r="Q1364" t="b">
        <f>COUNTIF($A$2:A1364,A1364)&gt;1</f>
        <v>0</v>
      </c>
    </row>
    <row r="1365" spans="1:17">
      <c r="A1365" s="3" t="s">
        <v>1396</v>
      </c>
      <c r="B1365" s="4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 s="3">
        <v>51.8</v>
      </c>
      <c r="Q1365" t="b">
        <f>COUNTIF($A$2:A1365,A1365)&gt;1</f>
        <v>0</v>
      </c>
    </row>
    <row r="1366" spans="1:17">
      <c r="A1366" s="3" t="s">
        <v>1397</v>
      </c>
      <c r="B1366" s="4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 s="3">
        <v>87.9</v>
      </c>
      <c r="Q1366" t="b">
        <f>COUNTIF($A$2:A1366,A1366)&gt;1</f>
        <v>0</v>
      </c>
    </row>
    <row r="1367" spans="1:17">
      <c r="A1367" s="3" t="s">
        <v>1398</v>
      </c>
      <c r="B1367" s="4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 s="3">
        <v>70.5</v>
      </c>
      <c r="Q1367" t="b">
        <f>COUNTIF($A$2:A1367,A1367)&gt;1</f>
        <v>0</v>
      </c>
    </row>
    <row r="1368" spans="1:17">
      <c r="A1368" s="3" t="s">
        <v>1399</v>
      </c>
      <c r="B1368" s="4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 s="3">
        <v>58.5</v>
      </c>
      <c r="Q1368" t="b">
        <f>COUNTIF($A$2:A1368,A1368)&gt;1</f>
        <v>0</v>
      </c>
    </row>
    <row r="1369" spans="1:17">
      <c r="A1369" s="3" t="s">
        <v>1400</v>
      </c>
      <c r="B1369" s="4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65.599999999999994</v>
      </c>
      <c r="Q1369" t="b">
        <f>COUNTIF($A$2:A1369,A1369)&gt;1</f>
        <v>0</v>
      </c>
    </row>
    <row r="1370" spans="1:17">
      <c r="A1370" s="3" t="s">
        <v>1401</v>
      </c>
      <c r="B1370" s="4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62.7</v>
      </c>
      <c r="Q1370" t="b">
        <f>COUNTIF($A$2:A1370,A1370)&gt;1</f>
        <v>0</v>
      </c>
    </row>
    <row r="1371" spans="1:17">
      <c r="A1371" s="3" t="s">
        <v>1402</v>
      </c>
      <c r="B1371" s="4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 s="3">
        <v>50.9</v>
      </c>
      <c r="Q1371" t="b">
        <f>COUNTIF($A$2:A1371,A1371)&gt;1</f>
        <v>0</v>
      </c>
    </row>
    <row r="1372" spans="1:17">
      <c r="A1372" s="3" t="s">
        <v>1403</v>
      </c>
      <c r="B1372" s="4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 s="3">
        <v>60.6</v>
      </c>
      <c r="Q1372" t="b">
        <f>COUNTIF($A$2:A1372,A1372)&gt;1</f>
        <v>0</v>
      </c>
    </row>
    <row r="1373" spans="1:17">
      <c r="A1373" s="3" t="s">
        <v>1404</v>
      </c>
      <c r="B1373" s="4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76.599999999999994</v>
      </c>
      <c r="Q1373" t="b">
        <f>COUNTIF($A$2:A1373,A1373)&gt;1</f>
        <v>0</v>
      </c>
    </row>
    <row r="1374" spans="1:17">
      <c r="A1374" s="3" t="s">
        <v>1405</v>
      </c>
      <c r="B1374" s="4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54.4</v>
      </c>
      <c r="Q1374" t="b">
        <f>COUNTIF($A$2:A1374,A1374)&gt;1</f>
        <v>0</v>
      </c>
    </row>
    <row r="1375" spans="1:17">
      <c r="A1375" s="3" t="s">
        <v>1406</v>
      </c>
      <c r="B1375" s="4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31.2</v>
      </c>
      <c r="Q1375" t="b">
        <f>COUNTIF($A$2:A1375,A1375)&gt;1</f>
        <v>0</v>
      </c>
    </row>
    <row r="1376" spans="1:17">
      <c r="A1376" s="3" t="s">
        <v>1407</v>
      </c>
      <c r="B1376" s="4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72.400000000000006</v>
      </c>
      <c r="Q1376" t="b">
        <f>COUNTIF($A$2:A1376,A1376)&gt;1</f>
        <v>0</v>
      </c>
    </row>
    <row r="1377" spans="1:17">
      <c r="A1377" s="3" t="s">
        <v>1408</v>
      </c>
      <c r="B1377" s="4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74.5</v>
      </c>
      <c r="Q1377" t="b">
        <f>COUNTIF($A$2:A1377,A1377)&gt;1</f>
        <v>0</v>
      </c>
    </row>
    <row r="1378" spans="1:17">
      <c r="A1378" s="3" t="s">
        <v>1409</v>
      </c>
      <c r="B1378" s="4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52.6</v>
      </c>
      <c r="Q1378" t="b">
        <f>COUNTIF($A$2:A1378,A1378)&gt;1</f>
        <v>0</v>
      </c>
    </row>
    <row r="1379" spans="1:17">
      <c r="A1379" s="3" t="s">
        <v>1410</v>
      </c>
      <c r="B1379" s="4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 s="3">
        <v>75.400000000000006</v>
      </c>
      <c r="Q1379" t="b">
        <f>COUNTIF($A$2:A1379,A1379)&gt;1</f>
        <v>0</v>
      </c>
    </row>
    <row r="1380" spans="1:17">
      <c r="A1380" s="3" t="s">
        <v>1411</v>
      </c>
      <c r="B1380" s="4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 s="3">
        <v>34</v>
      </c>
      <c r="Q1380" t="b">
        <f>COUNTIF($A$2:A1380,A1380)&gt;1</f>
        <v>0</v>
      </c>
    </row>
    <row r="1381" spans="1:17">
      <c r="A1381" s="3" t="s">
        <v>1412</v>
      </c>
      <c r="B1381" s="4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 s="3">
        <v>67.099999999999994</v>
      </c>
      <c r="Q1381" t="b">
        <f>COUNTIF($A$2:A1381,A1381)&gt;1</f>
        <v>0</v>
      </c>
    </row>
    <row r="1382" spans="1:17">
      <c r="A1382" s="3" t="s">
        <v>1413</v>
      </c>
      <c r="B1382" s="4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37.299999999999997</v>
      </c>
      <c r="Q1382" t="b">
        <f>COUNTIF($A$2:A1382,A1382)&gt;1</f>
        <v>0</v>
      </c>
    </row>
    <row r="1383" spans="1:17">
      <c r="A1383" s="3" t="s">
        <v>1414</v>
      </c>
      <c r="B1383" s="4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54.7</v>
      </c>
      <c r="Q1383" t="b">
        <f>COUNTIF($A$2:A1383,A1383)&gt;1</f>
        <v>0</v>
      </c>
    </row>
    <row r="1384" spans="1:17">
      <c r="A1384" s="3" t="s">
        <v>1415</v>
      </c>
      <c r="B1384" s="4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 s="3">
        <v>51.8</v>
      </c>
      <c r="Q1384" t="b">
        <f>COUNTIF($A$2:A1384,A1384)&gt;1</f>
        <v>0</v>
      </c>
    </row>
    <row r="1385" spans="1:17">
      <c r="A1385" s="3" t="s">
        <v>1416</v>
      </c>
      <c r="B1385" s="4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49.2</v>
      </c>
      <c r="Q1385" t="b">
        <f>COUNTIF($A$2:A1385,A1385)&gt;1</f>
        <v>0</v>
      </c>
    </row>
    <row r="1386" spans="1:17">
      <c r="A1386" s="3" t="s">
        <v>1417</v>
      </c>
      <c r="B1386" s="4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 s="3">
        <v>58.8</v>
      </c>
      <c r="Q1386" t="b">
        <f>COUNTIF($A$2:A1386,A1386)&gt;1</f>
        <v>0</v>
      </c>
    </row>
    <row r="1387" spans="1:17">
      <c r="A1387" s="3" t="s">
        <v>1418</v>
      </c>
      <c r="B1387" s="4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 s="3">
        <v>59.1</v>
      </c>
      <c r="Q1387" t="b">
        <f>COUNTIF($A$2:A1387,A1387)&gt;1</f>
        <v>0</v>
      </c>
    </row>
    <row r="1388" spans="1:17">
      <c r="A1388" s="3" t="s">
        <v>1419</v>
      </c>
      <c r="B1388" s="4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 s="3">
        <v>49.6</v>
      </c>
      <c r="Q1388" t="b">
        <f>COUNTIF($A$2:A1388,A1388)&gt;1</f>
        <v>0</v>
      </c>
    </row>
    <row r="1389" spans="1:17">
      <c r="A1389" s="3" t="s">
        <v>1420</v>
      </c>
      <c r="B1389" s="4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 s="3">
        <v>58.2</v>
      </c>
      <c r="Q1389" t="b">
        <f>COUNTIF($A$2:A1389,A1389)&gt;1</f>
        <v>0</v>
      </c>
    </row>
    <row r="1390" spans="1:17">
      <c r="A1390" s="3" t="s">
        <v>1421</v>
      </c>
      <c r="B1390" s="4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66.8</v>
      </c>
      <c r="Q1390" t="b">
        <f>COUNTIF($A$2:A1390,A1390)&gt;1</f>
        <v>0</v>
      </c>
    </row>
    <row r="1391" spans="1:17">
      <c r="A1391" s="3" t="s">
        <v>1422</v>
      </c>
      <c r="B1391" s="4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 s="3">
        <v>58.3</v>
      </c>
      <c r="Q1391" t="b">
        <f>COUNTIF($A$2:A1391,A1391)&gt;1</f>
        <v>0</v>
      </c>
    </row>
    <row r="1392" spans="1:17">
      <c r="A1392" s="3" t="s">
        <v>1423</v>
      </c>
      <c r="B1392" s="4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38.5</v>
      </c>
      <c r="Q1392" t="b">
        <f>COUNTIF($A$2:A1392,A1392)&gt;1</f>
        <v>0</v>
      </c>
    </row>
    <row r="1393" spans="1:17">
      <c r="A1393" s="3" t="s">
        <v>1424</v>
      </c>
      <c r="B1393" s="4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76.900000000000006</v>
      </c>
      <c r="Q1393" t="b">
        <f>COUNTIF($A$2:A1393,A1393)&gt;1</f>
        <v>0</v>
      </c>
    </row>
    <row r="1394" spans="1:17">
      <c r="A1394" s="3" t="s">
        <v>1425</v>
      </c>
      <c r="B1394" s="4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 s="3">
        <v>54</v>
      </c>
      <c r="Q1394" t="b">
        <f>COUNTIF($A$2:A1394,A1394)&gt;1</f>
        <v>0</v>
      </c>
    </row>
    <row r="1395" spans="1:17">
      <c r="A1395" s="3" t="s">
        <v>1426</v>
      </c>
      <c r="B1395" s="4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 s="3">
        <v>70.599999999999994</v>
      </c>
      <c r="Q1395" t="b">
        <f>COUNTIF($A$2:A1395,A1395)&gt;1</f>
        <v>0</v>
      </c>
    </row>
    <row r="1396" spans="1:17">
      <c r="A1396" s="3" t="s">
        <v>1427</v>
      </c>
      <c r="B1396" s="4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 s="3">
        <v>69.400000000000006</v>
      </c>
      <c r="Q1396" t="b">
        <f>COUNTIF($A$2:A1396,A1396)&gt;1</f>
        <v>0</v>
      </c>
    </row>
    <row r="1397" spans="1:17">
      <c r="A1397" s="3" t="s">
        <v>1428</v>
      </c>
      <c r="B1397" s="4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 s="3">
        <v>89.7</v>
      </c>
      <c r="Q1397" t="b">
        <f>COUNTIF($A$2:A1397,A1397)&gt;1</f>
        <v>0</v>
      </c>
    </row>
    <row r="1398" spans="1:17">
      <c r="A1398" s="3" t="s">
        <v>1429</v>
      </c>
      <c r="B1398" s="4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 s="3">
        <v>62.4</v>
      </c>
      <c r="Q1398" t="b">
        <f>COUNTIF($A$2:A1398,A1398)&gt;1</f>
        <v>0</v>
      </c>
    </row>
    <row r="1399" spans="1:17">
      <c r="A1399" s="3" t="s">
        <v>1430</v>
      </c>
      <c r="B1399" s="4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 s="3">
        <v>67.3</v>
      </c>
      <c r="Q1399" t="b">
        <f>COUNTIF($A$2:A1399,A1399)&gt;1</f>
        <v>0</v>
      </c>
    </row>
    <row r="1400" spans="1:17">
      <c r="A1400" s="3" t="s">
        <v>1431</v>
      </c>
      <c r="B1400" s="4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 s="3">
        <v>54.9</v>
      </c>
      <c r="Q1400" t="b">
        <f>COUNTIF($A$2:A1400,A1400)&gt;1</f>
        <v>0</v>
      </c>
    </row>
    <row r="1401" spans="1:17">
      <c r="A1401" s="3" t="s">
        <v>1432</v>
      </c>
      <c r="B1401" s="4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 s="3">
        <v>55.7</v>
      </c>
      <c r="Q1401" t="b">
        <f>COUNTIF($A$2:A1401,A1401)&gt;1</f>
        <v>0</v>
      </c>
    </row>
    <row r="1402" spans="1:17">
      <c r="A1402" s="3" t="s">
        <v>949</v>
      </c>
      <c r="B1402" s="4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>
        <v>1</v>
      </c>
      <c r="I1402" s="3">
        <v>1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/>
      <c r="P1402" s="3">
        <v>70.599999999999994</v>
      </c>
      <c r="Q1402" t="b">
        <f>COUNTIF($A$2:A1402,A1402)&gt;1</f>
        <v>1</v>
      </c>
    </row>
    <row r="1403" spans="1:17">
      <c r="A1403" s="3" t="s">
        <v>464</v>
      </c>
      <c r="B1403" s="4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/>
      <c r="P1403" s="3">
        <v>60.9</v>
      </c>
      <c r="Q1403" t="b">
        <f>COUNTIF($A$2:A1403,A1403)&gt;1</f>
        <v>1</v>
      </c>
    </row>
    <row r="1404" spans="1:17">
      <c r="A1404" s="3" t="s">
        <v>1394</v>
      </c>
      <c r="B1404" s="4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/>
      <c r="P1404" s="3">
        <v>33.6</v>
      </c>
      <c r="Q1404" t="b">
        <f>COUNTIF($A$2:A1404,A1404)&gt;1</f>
        <v>1</v>
      </c>
    </row>
    <row r="1405" spans="1:17">
      <c r="A1405" s="3" t="s">
        <v>127</v>
      </c>
      <c r="B1405" s="4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/>
      <c r="P1405" s="3">
        <v>68</v>
      </c>
      <c r="Q1405" t="b">
        <f>COUNTIF($A$2:A1405,A1405)&gt;1</f>
        <v>1</v>
      </c>
    </row>
    <row r="1406" spans="1:17">
      <c r="A1406" s="3" t="s">
        <v>1242</v>
      </c>
      <c r="B1406" s="4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/>
      <c r="P1406" s="3">
        <v>62</v>
      </c>
      <c r="Q1406" t="b">
        <f>COUNTIF($A$2:A1406,A1406)&gt;1</f>
        <v>1</v>
      </c>
    </row>
    <row r="1407" spans="1:17">
      <c r="A1407" s="3" t="s">
        <v>1264</v>
      </c>
      <c r="B1407" s="4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>
        <v>1</v>
      </c>
      <c r="I1407" s="3">
        <v>1</v>
      </c>
      <c r="J1407" s="3">
        <v>1</v>
      </c>
      <c r="K1407" s="3">
        <v>0</v>
      </c>
      <c r="L1407" s="3">
        <v>0</v>
      </c>
      <c r="M1407" s="3">
        <v>1</v>
      </c>
      <c r="N1407" s="3">
        <v>0</v>
      </c>
      <c r="O1407" s="3"/>
      <c r="P1407" s="3">
        <v>72.5</v>
      </c>
      <c r="Q1407" t="b">
        <f>COUNTIF($A$2:A1407,A1407)&gt;1</f>
        <v>1</v>
      </c>
    </row>
    <row r="1408" spans="1:17">
      <c r="A1408" s="3" t="s">
        <v>1091</v>
      </c>
      <c r="B1408" s="4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/>
      <c r="P1408" s="3">
        <v>70.3</v>
      </c>
      <c r="Q1408" t="b">
        <f>COUNTIF($A$2:A1408,A1408)&gt;1</f>
        <v>1</v>
      </c>
    </row>
    <row r="1409" spans="1:17">
      <c r="A1409" s="3" t="s">
        <v>572</v>
      </c>
      <c r="B1409" s="4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>
        <v>1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/>
      <c r="P1409" s="3">
        <v>39.9</v>
      </c>
      <c r="Q1409" t="b">
        <f>COUNTIF($A$2:A1409,A1409)&gt;1</f>
        <v>1</v>
      </c>
    </row>
  </sheetData>
  <autoFilter ref="A1:Q140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5" t="s">
        <v>1435</v>
      </c>
      <c r="B2" s="5" t="s">
        <v>1436</v>
      </c>
    </row>
    <row r="3" spans="1:2">
      <c r="A3" s="5" t="s">
        <v>17</v>
      </c>
      <c r="B3" s="5" t="s">
        <v>1437</v>
      </c>
    </row>
    <row r="4" spans="1:2">
      <c r="A4" s="5" t="s">
        <v>723</v>
      </c>
      <c r="B4" s="5" t="s">
        <v>1438</v>
      </c>
    </row>
    <row r="5" spans="1:2" ht="42">
      <c r="A5" s="5" t="s">
        <v>1439</v>
      </c>
      <c r="B5" s="5" t="s">
        <v>1440</v>
      </c>
    </row>
    <row r="6" spans="1:2" ht="28">
      <c r="A6" s="5" t="s">
        <v>7</v>
      </c>
      <c r="B6" s="5" t="s">
        <v>1441</v>
      </c>
    </row>
    <row r="7" spans="1:2" ht="28">
      <c r="A7" s="5" t="s">
        <v>8</v>
      </c>
      <c r="B7" s="5" t="s">
        <v>1442</v>
      </c>
    </row>
    <row r="8" spans="1:2" ht="28">
      <c r="A8" s="5" t="s">
        <v>9</v>
      </c>
      <c r="B8" s="5" t="s">
        <v>1443</v>
      </c>
    </row>
    <row r="9" spans="1:2" ht="28">
      <c r="A9" s="5" t="s">
        <v>10</v>
      </c>
      <c r="B9" s="5" t="s">
        <v>1444</v>
      </c>
    </row>
    <row r="10" spans="1:2" ht="28">
      <c r="A10" s="5" t="s">
        <v>11</v>
      </c>
      <c r="B10" s="5" t="s">
        <v>1445</v>
      </c>
    </row>
    <row r="11" spans="1:2" ht="28">
      <c r="A11" s="5" t="s">
        <v>12</v>
      </c>
      <c r="B11" s="5" t="s">
        <v>1446</v>
      </c>
    </row>
    <row r="12" spans="1:2" ht="28">
      <c r="A12" s="5" t="s">
        <v>13</v>
      </c>
      <c r="B12" s="5" t="s">
        <v>1447</v>
      </c>
    </row>
    <row r="13" spans="1:2" ht="28">
      <c r="A13" s="5" t="s">
        <v>15</v>
      </c>
      <c r="B13" s="5" t="s">
        <v>1448</v>
      </c>
    </row>
    <row r="14" spans="1:2" ht="56">
      <c r="A14" s="5" t="s">
        <v>1449</v>
      </c>
      <c r="B14" s="5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7" sqref="A17"/>
    </sheetView>
  </sheetViews>
  <sheetFormatPr defaultRowHeight="14"/>
  <cols>
    <col min="1" max="1" width="19.25" bestFit="1" customWidth="1"/>
    <col min="2" max="2" width="12.9140625" bestFit="1" customWidth="1"/>
  </cols>
  <sheetData>
    <row r="1" spans="1:2">
      <c r="A1" t="s">
        <v>1452</v>
      </c>
      <c r="B1" t="s">
        <v>1451</v>
      </c>
    </row>
    <row r="2" spans="1:2">
      <c r="A2" t="s">
        <v>0</v>
      </c>
      <c r="B2">
        <f>COUNTBLANK(experiment_data!A2:A1409)</f>
        <v>0</v>
      </c>
    </row>
    <row r="3" spans="1:2">
      <c r="A3" t="s">
        <v>1</v>
      </c>
      <c r="B3">
        <f>COUNTBLANK(experiment_data!B2:B1409)</f>
        <v>0</v>
      </c>
    </row>
    <row r="4" spans="1:2">
      <c r="A4" t="s">
        <v>2</v>
      </c>
      <c r="B4">
        <f>COUNTBLANK(experiment_data!C4:C1409)</f>
        <v>0</v>
      </c>
    </row>
    <row r="5" spans="1:2">
      <c r="A5" t="s">
        <v>3</v>
      </c>
      <c r="B5">
        <f>COUNTBLANK(experiment_data!D2:D1409)</f>
        <v>0</v>
      </c>
    </row>
    <row r="6" spans="1:2">
      <c r="A6" t="s">
        <v>4</v>
      </c>
      <c r="B6">
        <f>COUNTBLANK(experiment_data!E2:E1409)</f>
        <v>18</v>
      </c>
    </row>
    <row r="7" spans="1:2">
      <c r="A7" t="s">
        <v>5</v>
      </c>
      <c r="B7">
        <f>COUNTBLANK(experiment_data!F2:F1409)</f>
        <v>24</v>
      </c>
    </row>
    <row r="8" spans="1:2">
      <c r="A8" t="s">
        <v>6</v>
      </c>
      <c r="B8">
        <f>COUNTBLANK(experiment_data!G2:G1409)</f>
        <v>0</v>
      </c>
    </row>
    <row r="9" spans="1:2">
      <c r="A9" t="s">
        <v>7</v>
      </c>
      <c r="B9">
        <f>COUNTBLANK(experiment_data!H2:H1409)</f>
        <v>0</v>
      </c>
    </row>
    <row r="10" spans="1:2">
      <c r="A10" t="s">
        <v>8</v>
      </c>
      <c r="B10">
        <f>COUNTBLANK(experiment_data!I2:I1409)</f>
        <v>0</v>
      </c>
    </row>
    <row r="11" spans="1:2">
      <c r="A11" t="s">
        <v>9</v>
      </c>
      <c r="B11">
        <f>COUNTBLANK(experiment_data!J2:J1409)</f>
        <v>0</v>
      </c>
    </row>
    <row r="12" spans="1:2">
      <c r="A12" t="s">
        <v>10</v>
      </c>
      <c r="B12">
        <f>COUNTBLANK(experiment_data!K2:K1409)</f>
        <v>0</v>
      </c>
    </row>
    <row r="13" spans="1:2">
      <c r="A13" t="s">
        <v>11</v>
      </c>
      <c r="B13">
        <f>COUNTBLANK(experiment_data!L2:L1409)</f>
        <v>0</v>
      </c>
    </row>
    <row r="14" spans="1:2">
      <c r="A14" t="s">
        <v>12</v>
      </c>
      <c r="B14">
        <f>COUNTBLANK(experiment_data!M2:M1409)</f>
        <v>0</v>
      </c>
    </row>
    <row r="15" spans="1:2">
      <c r="A15" t="s">
        <v>13</v>
      </c>
      <c r="B15">
        <f>COUNTBLANK(experiment_data!N2:N1409)</f>
        <v>0</v>
      </c>
    </row>
    <row r="16" spans="1:2">
      <c r="A16" t="s">
        <v>14</v>
      </c>
      <c r="B16">
        <f>COUNTBLANK(experiment_data!O2:O1409)</f>
        <v>1336</v>
      </c>
    </row>
    <row r="17" spans="1:2">
      <c r="A17" t="s">
        <v>15</v>
      </c>
      <c r="B17">
        <f>COUNTBLANK(experiment_data!P2:P1409)</f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1" sqref="B11"/>
    </sheetView>
  </sheetViews>
  <sheetFormatPr defaultRowHeight="14"/>
  <cols>
    <col min="1" max="1" width="14.5" bestFit="1" customWidth="1"/>
  </cols>
  <sheetData>
    <row r="1" spans="1:2" ht="14.5" thickBot="1">
      <c r="A1" s="8" t="s">
        <v>1453</v>
      </c>
      <c r="B1" s="9" t="s">
        <v>1456</v>
      </c>
    </row>
    <row r="2" spans="1:2">
      <c r="A2" s="11" t="s">
        <v>1454</v>
      </c>
      <c r="B2" s="6">
        <f>COUNTIF(experiment_data!C:C,"Control")</f>
        <v>693</v>
      </c>
    </row>
    <row r="3" spans="1:2" ht="14.5" thickBot="1">
      <c r="A3" s="12" t="s">
        <v>1455</v>
      </c>
      <c r="B3" s="7">
        <f>COUNTIF(experiment_data!C:C,"Treatment")</f>
        <v>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J16" sqref="J16"/>
    </sheetView>
  </sheetViews>
  <sheetFormatPr defaultRowHeight="14"/>
  <cols>
    <col min="1" max="1" width="20.75" bestFit="1" customWidth="1"/>
    <col min="2" max="2" width="9.6640625" customWidth="1"/>
  </cols>
  <sheetData>
    <row r="2" spans="1:2" ht="14.5" thickBot="1">
      <c r="A2" s="7" t="s">
        <v>1458</v>
      </c>
      <c r="B2" s="22" t="s">
        <v>1475</v>
      </c>
    </row>
    <row r="3" spans="1:2">
      <c r="A3" s="20" t="s">
        <v>949</v>
      </c>
      <c r="B3" s="21"/>
    </row>
    <row r="4" spans="1:2">
      <c r="A4" s="20" t="s">
        <v>464</v>
      </c>
      <c r="B4" s="21"/>
    </row>
    <row r="5" spans="1:2">
      <c r="A5" s="20" t="s">
        <v>1394</v>
      </c>
      <c r="B5" s="21"/>
    </row>
    <row r="6" spans="1:2">
      <c r="A6" s="20" t="s">
        <v>127</v>
      </c>
      <c r="B6" s="21"/>
    </row>
    <row r="7" spans="1:2">
      <c r="A7" s="20" t="s">
        <v>1242</v>
      </c>
      <c r="B7" s="21"/>
    </row>
    <row r="8" spans="1:2">
      <c r="A8" s="20" t="s">
        <v>1264</v>
      </c>
      <c r="B8" s="21"/>
    </row>
    <row r="9" spans="1:2">
      <c r="A9" s="20" t="s">
        <v>1091</v>
      </c>
      <c r="B9" s="21"/>
    </row>
    <row r="10" spans="1:2" ht="14.5" thickBot="1">
      <c r="A10" s="20" t="s">
        <v>572</v>
      </c>
      <c r="B10" s="21"/>
    </row>
    <row r="11" spans="1:2">
      <c r="A11" s="23" t="s">
        <v>1459</v>
      </c>
      <c r="B11" s="24">
        <f>COUNTA(A3:A10)</f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0" sqref="H10"/>
    </sheetView>
  </sheetViews>
  <sheetFormatPr defaultRowHeight="14"/>
  <cols>
    <col min="1" max="1" width="19.25" bestFit="1" customWidth="1"/>
  </cols>
  <sheetData>
    <row r="1" spans="1:2" ht="14.5" thickBot="1">
      <c r="A1" s="7" t="s">
        <v>1461</v>
      </c>
      <c r="B1" s="22" t="s">
        <v>1462</v>
      </c>
    </row>
    <row r="2" spans="1:2">
      <c r="A2" s="6" t="s">
        <v>7</v>
      </c>
      <c r="B2" s="21" t="str">
        <f>IF(OR(experiment_data!H2:H1409=0,experiment_data!H:H=1),"Valid","Invalid")</f>
        <v>Valid</v>
      </c>
    </row>
    <row r="3" spans="1:2">
      <c r="A3" s="6" t="s">
        <v>8</v>
      </c>
      <c r="B3" s="21" t="str">
        <f>IF(OR(experiment_data!I:I=0,experiment_data!I:I=1),"Valid","Invalid")</f>
        <v>Valid</v>
      </c>
    </row>
    <row r="4" spans="1:2">
      <c r="A4" s="6" t="s">
        <v>9</v>
      </c>
      <c r="B4" s="21" t="str">
        <f>IF(OR(experiment_data!J:J=0,experiment_data!J:J=1),"Valid","Invalid")</f>
        <v>Valid</v>
      </c>
    </row>
    <row r="5" spans="1:2">
      <c r="A5" s="6" t="s">
        <v>10</v>
      </c>
      <c r="B5" s="21" t="str">
        <f>IF(OR(experiment_data!K:K=0,experiment_data!K:K=1),"Valid","Invalid")</f>
        <v>Valid</v>
      </c>
    </row>
    <row r="6" spans="1:2">
      <c r="A6" s="6" t="s">
        <v>14</v>
      </c>
      <c r="B6" s="21" t="str">
        <f>IF(OR(experiment_data!O:O=0,experiment_data!O:O=1),"Valid","Invalid")</f>
        <v>Valid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20"/>
  <sheetViews>
    <sheetView topLeftCell="A6" workbookViewId="0">
      <selection activeCell="E16" sqref="E16"/>
    </sheetView>
  </sheetViews>
  <sheetFormatPr defaultRowHeight="14"/>
  <cols>
    <col min="1" max="1" width="17.25" customWidth="1"/>
    <col min="2" max="2" width="39.08203125" customWidth="1"/>
    <col min="3" max="3" width="9.25" customWidth="1"/>
  </cols>
  <sheetData>
    <row r="1" spans="1:2">
      <c r="A1" t="s">
        <v>1468</v>
      </c>
      <c r="B1" t="s">
        <v>1475</v>
      </c>
    </row>
    <row r="2" spans="1:2">
      <c r="A2" t="s">
        <v>1469</v>
      </c>
      <c r="B2">
        <f>AVERAGE(experiment_data!$L:$L)</f>
        <v>52.828828124999994</v>
      </c>
    </row>
    <row r="3" spans="1:2">
      <c r="A3" t="s">
        <v>1470</v>
      </c>
      <c r="B3">
        <f>STDEV(experiment_data!$L:$L)</f>
        <v>375.93670267237917</v>
      </c>
    </row>
    <row r="4" spans="1:2">
      <c r="A4" t="s">
        <v>1471</v>
      </c>
      <c r="B4">
        <f>B2+3*B3</f>
        <v>1180.6389361421375</v>
      </c>
    </row>
    <row r="5" spans="1:2">
      <c r="A5" t="s">
        <v>1472</v>
      </c>
      <c r="B5">
        <f>COUNTIF(experiment_data!L2:L1409,"&gt;"&amp;0)</f>
        <v>72</v>
      </c>
    </row>
    <row r="6" spans="1:2">
      <c r="A6" t="s">
        <v>1473</v>
      </c>
      <c r="B6">
        <f>MIN(experiment_data!L2:L1409)</f>
        <v>0</v>
      </c>
    </row>
    <row r="7" spans="1:2">
      <c r="A7" t="s">
        <v>1474</v>
      </c>
      <c r="B7">
        <f>MAX(experiment_data!L2:L1410)</f>
        <v>8610.7199999999993</v>
      </c>
    </row>
    <row r="12" spans="1:2">
      <c r="A12" t="s">
        <v>1475</v>
      </c>
      <c r="B12" t="s">
        <v>1487</v>
      </c>
    </row>
    <row r="13" spans="1:2">
      <c r="A13" t="s">
        <v>1476</v>
      </c>
    </row>
    <row r="14" spans="1:2" ht="14.5" thickBot="1"/>
    <row r="15" spans="1:2" ht="14.5" thickBot="1">
      <c r="A15" s="10" t="s">
        <v>1477</v>
      </c>
      <c r="B15" s="9" t="s">
        <v>1478</v>
      </c>
    </row>
    <row r="16" spans="1:2" ht="42">
      <c r="A16" s="13" t="s">
        <v>1451</v>
      </c>
      <c r="B16" s="18" t="s">
        <v>1488</v>
      </c>
    </row>
    <row r="17" spans="1:2">
      <c r="A17" s="13" t="s">
        <v>1479</v>
      </c>
      <c r="B17" s="18" t="s">
        <v>1480</v>
      </c>
    </row>
    <row r="18" spans="1:2">
      <c r="A18" s="13" t="s">
        <v>1481</v>
      </c>
      <c r="B18" s="18" t="s">
        <v>1482</v>
      </c>
    </row>
    <row r="19" spans="1:2" ht="42">
      <c r="A19" s="13" t="s">
        <v>1483</v>
      </c>
      <c r="B19" s="18" t="s">
        <v>1484</v>
      </c>
    </row>
    <row r="20" spans="1:2" ht="14.5" thickBot="1">
      <c r="A20" s="14" t="s">
        <v>1485</v>
      </c>
      <c r="B20" s="19" t="s">
        <v>1486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C16" sqref="C16"/>
    </sheetView>
  </sheetViews>
  <sheetFormatPr defaultRowHeight="14"/>
  <cols>
    <col min="1" max="1" width="24.25" customWidth="1"/>
    <col min="2" max="2" width="15.58203125" customWidth="1"/>
    <col min="3" max="3" width="9.5" customWidth="1"/>
    <col min="4" max="4" width="6.5" customWidth="1"/>
    <col min="5" max="5" width="10.83203125" bestFit="1" customWidth="1"/>
  </cols>
  <sheetData>
    <row r="3" spans="1:5">
      <c r="A3" s="15" t="s">
        <v>1467</v>
      </c>
      <c r="B3" s="15" t="s">
        <v>1465</v>
      </c>
    </row>
    <row r="4" spans="1:5">
      <c r="A4" s="15" t="s">
        <v>1463</v>
      </c>
      <c r="B4" t="s">
        <v>17</v>
      </c>
      <c r="C4" t="s">
        <v>723</v>
      </c>
      <c r="D4" t="s">
        <v>1466</v>
      </c>
      <c r="E4" t="s">
        <v>1464</v>
      </c>
    </row>
    <row r="5" spans="1:5">
      <c r="A5" s="16" t="s">
        <v>21</v>
      </c>
      <c r="B5" s="17">
        <v>223</v>
      </c>
      <c r="C5" s="17">
        <v>235</v>
      </c>
      <c r="D5" s="17"/>
      <c r="E5" s="17">
        <v>458</v>
      </c>
    </row>
    <row r="6" spans="1:5">
      <c r="A6" s="16" t="s">
        <v>26</v>
      </c>
      <c r="B6" s="17">
        <v>361</v>
      </c>
      <c r="C6" s="17">
        <v>368</v>
      </c>
      <c r="D6" s="17"/>
      <c r="E6" s="17">
        <v>729</v>
      </c>
    </row>
    <row r="7" spans="1:5">
      <c r="A7" s="16" t="s">
        <v>30</v>
      </c>
      <c r="B7" s="17">
        <v>109</v>
      </c>
      <c r="C7" s="17">
        <v>112</v>
      </c>
      <c r="D7" s="17"/>
      <c r="E7" s="17">
        <v>221</v>
      </c>
    </row>
    <row r="8" spans="1:5">
      <c r="A8" s="16" t="s">
        <v>1466</v>
      </c>
      <c r="B8" s="17"/>
      <c r="C8" s="17"/>
      <c r="D8" s="17"/>
      <c r="E8" s="17"/>
    </row>
    <row r="9" spans="1:5">
      <c r="A9" s="16" t="s">
        <v>1464</v>
      </c>
      <c r="B9" s="17">
        <v>693</v>
      </c>
      <c r="C9" s="17">
        <v>715</v>
      </c>
      <c r="D9" s="17"/>
      <c r="E9" s="17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experiment_data</vt:lpstr>
      <vt:lpstr>business_context</vt:lpstr>
      <vt:lpstr>Missing_Values</vt:lpstr>
      <vt:lpstr>Group_Counts</vt:lpstr>
      <vt:lpstr>Duplicate_User_IDs</vt:lpstr>
      <vt:lpstr>Invalid_binary_values</vt:lpstr>
      <vt:lpstr>Outliers_in_revenue</vt:lpstr>
      <vt:lpstr>segment_dist._across_groups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Parmar</dc:creator>
  <cp:lastModifiedBy>Aarti Parmar</cp:lastModifiedBy>
  <dcterms:created xsi:type="dcterms:W3CDTF">2026-06-25T14:23:23Z</dcterms:created>
  <dcterms:modified xsi:type="dcterms:W3CDTF">2026-06-26T12:53:17Z</dcterms:modified>
</cp:coreProperties>
</file>